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zsi Bianka\Downloads\"/>
    </mc:Choice>
  </mc:AlternateContent>
  <xr:revisionPtr revIDLastSave="0" documentId="8_{8EA617E4-7F10-4418-8F20-8EB85821C368}" xr6:coauthVersionLast="47" xr6:coauthVersionMax="47" xr10:uidLastSave="{00000000-0000-0000-0000-000000000000}"/>
  <bookViews>
    <workbookView xWindow="28680" yWindow="-3630" windowWidth="29040" windowHeight="15720" xr2:uid="{33569232-A730-4463-A2D3-53C2CF5E17AE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01" i="1" l="1"/>
  <c r="F1301" i="1"/>
  <c r="D1301" i="1"/>
  <c r="G1275" i="1"/>
  <c r="F1275" i="1"/>
  <c r="D1275" i="1"/>
  <c r="G1260" i="1"/>
  <c r="F1260" i="1"/>
  <c r="D1260" i="1"/>
  <c r="G1245" i="1"/>
  <c r="F1245" i="1"/>
  <c r="D1245" i="1"/>
  <c r="G1226" i="1"/>
  <c r="F1226" i="1"/>
  <c r="D1226" i="1"/>
  <c r="G1210" i="1"/>
  <c r="F1210" i="1"/>
  <c r="D1210" i="1"/>
  <c r="G1195" i="1"/>
  <c r="F1195" i="1"/>
  <c r="D1195" i="1"/>
  <c r="G1180" i="1"/>
  <c r="F1180" i="1"/>
  <c r="D1180" i="1"/>
  <c r="G1163" i="1"/>
  <c r="F1163" i="1"/>
  <c r="D1163" i="1"/>
  <c r="G1147" i="1"/>
  <c r="F1147" i="1"/>
  <c r="D1147" i="1"/>
  <c r="G1134" i="1"/>
  <c r="F1134" i="1"/>
  <c r="D1134" i="1"/>
  <c r="G1117" i="1"/>
  <c r="F1117" i="1"/>
  <c r="D1117" i="1"/>
  <c r="G1095" i="1"/>
  <c r="F1095" i="1"/>
  <c r="D1095" i="1"/>
  <c r="G1079" i="1"/>
  <c r="F1079" i="1"/>
  <c r="D1079" i="1"/>
  <c r="G1066" i="1"/>
  <c r="F1066" i="1"/>
  <c r="D1066" i="1"/>
  <c r="G1042" i="1"/>
  <c r="F1042" i="1"/>
  <c r="D1042" i="1"/>
  <c r="G1024" i="1"/>
  <c r="F1024" i="1"/>
  <c r="D1024" i="1"/>
  <c r="G1004" i="1"/>
  <c r="F1004" i="1"/>
  <c r="D1004" i="1"/>
  <c r="G986" i="1"/>
  <c r="F986" i="1"/>
  <c r="D986" i="1"/>
  <c r="G966" i="1"/>
  <c r="F966" i="1"/>
  <c r="D966" i="1"/>
  <c r="G961" i="1"/>
  <c r="F961" i="1"/>
  <c r="D961" i="1"/>
  <c r="G946" i="1"/>
  <c r="F946" i="1"/>
  <c r="D946" i="1"/>
  <c r="G928" i="1"/>
  <c r="F928" i="1"/>
  <c r="D928" i="1"/>
  <c r="G911" i="1"/>
  <c r="F911" i="1"/>
  <c r="D911" i="1"/>
  <c r="G896" i="1"/>
  <c r="F896" i="1"/>
  <c r="D896" i="1"/>
  <c r="G880" i="1"/>
  <c r="F880" i="1"/>
  <c r="D880" i="1"/>
  <c r="G863" i="1"/>
  <c r="F863" i="1"/>
  <c r="D863" i="1"/>
  <c r="G844" i="1"/>
  <c r="F844" i="1"/>
  <c r="D844" i="1"/>
  <c r="G826" i="1"/>
  <c r="F826" i="1"/>
  <c r="D826" i="1"/>
  <c r="G807" i="1"/>
  <c r="F807" i="1"/>
  <c r="D807" i="1"/>
  <c r="G790" i="1"/>
  <c r="F790" i="1"/>
  <c r="D790" i="1"/>
  <c r="G776" i="1"/>
  <c r="F776" i="1"/>
  <c r="D776" i="1"/>
  <c r="G759" i="1"/>
  <c r="F759" i="1"/>
  <c r="D759" i="1"/>
  <c r="G739" i="1"/>
  <c r="F739" i="1"/>
  <c r="D739" i="1"/>
  <c r="G722" i="1"/>
  <c r="F722" i="1"/>
  <c r="D722" i="1"/>
  <c r="G706" i="1"/>
  <c r="F706" i="1"/>
  <c r="D706" i="1"/>
  <c r="G687" i="1"/>
  <c r="F687" i="1"/>
  <c r="D687" i="1"/>
  <c r="G667" i="1"/>
  <c r="F667" i="1"/>
  <c r="D667" i="1"/>
  <c r="G649" i="1"/>
  <c r="F649" i="1"/>
  <c r="D649" i="1"/>
  <c r="G628" i="1"/>
  <c r="F628" i="1"/>
  <c r="D628" i="1"/>
  <c r="G608" i="1"/>
  <c r="F608" i="1"/>
  <c r="D608" i="1"/>
  <c r="G588" i="1"/>
  <c r="F588" i="1"/>
  <c r="D588" i="1"/>
  <c r="G569" i="1"/>
  <c r="F569" i="1"/>
  <c r="D569" i="1"/>
  <c r="G552" i="1"/>
  <c r="F552" i="1"/>
  <c r="D552" i="1"/>
  <c r="G535" i="1"/>
  <c r="F535" i="1"/>
  <c r="D535" i="1"/>
  <c r="G517" i="1"/>
  <c r="F517" i="1"/>
  <c r="D517" i="1"/>
  <c r="G500" i="1"/>
  <c r="F500" i="1"/>
  <c r="D500" i="1"/>
  <c r="G478" i="1"/>
  <c r="F478" i="1"/>
  <c r="D478" i="1"/>
  <c r="G461" i="1"/>
  <c r="F461" i="1"/>
  <c r="D461" i="1"/>
  <c r="G443" i="1"/>
  <c r="F443" i="1"/>
  <c r="D443" i="1"/>
  <c r="G420" i="1"/>
  <c r="F420" i="1"/>
  <c r="D420" i="1"/>
  <c r="G402" i="1"/>
  <c r="F402" i="1"/>
  <c r="D402" i="1"/>
  <c r="G384" i="1"/>
  <c r="F384" i="1"/>
  <c r="D384" i="1"/>
  <c r="G366" i="1"/>
  <c r="F366" i="1"/>
  <c r="D366" i="1"/>
  <c r="G344" i="1"/>
  <c r="F344" i="1"/>
  <c r="D344" i="1"/>
  <c r="G326" i="1"/>
  <c r="F326" i="1"/>
  <c r="D326" i="1"/>
  <c r="G303" i="1"/>
  <c r="F303" i="1"/>
  <c r="D303" i="1"/>
  <c r="G283" i="1"/>
  <c r="F283" i="1"/>
  <c r="D283" i="1"/>
  <c r="G265" i="1"/>
  <c r="F265" i="1"/>
  <c r="D265" i="1"/>
  <c r="G246" i="1"/>
  <c r="F246" i="1"/>
  <c r="D246" i="1"/>
  <c r="G225" i="1"/>
  <c r="F225" i="1"/>
  <c r="D225" i="1"/>
  <c r="G206" i="1"/>
  <c r="F206" i="1"/>
  <c r="D206" i="1"/>
  <c r="G188" i="1"/>
  <c r="F188" i="1"/>
  <c r="D188" i="1"/>
  <c r="G169" i="1"/>
  <c r="F169" i="1"/>
  <c r="D169" i="1"/>
  <c r="G147" i="1"/>
  <c r="F147" i="1"/>
  <c r="D147" i="1"/>
  <c r="G130" i="1"/>
  <c r="F130" i="1"/>
  <c r="D130" i="1"/>
  <c r="G114" i="1"/>
  <c r="F114" i="1"/>
  <c r="D114" i="1"/>
  <c r="G95" i="1"/>
  <c r="F95" i="1"/>
  <c r="D95" i="1"/>
  <c r="G78" i="1"/>
  <c r="F78" i="1"/>
  <c r="D78" i="1"/>
  <c r="G60" i="1"/>
  <c r="F60" i="1"/>
  <c r="D60" i="1"/>
  <c r="G41" i="1"/>
  <c r="F41" i="1"/>
  <c r="D41" i="1"/>
  <c r="G25" i="1"/>
  <c r="F25" i="1"/>
  <c r="D25" i="1"/>
</calcChain>
</file>

<file path=xl/sharedStrings.xml><?xml version="1.0" encoding="utf-8"?>
<sst xmlns="http://schemas.openxmlformats.org/spreadsheetml/2006/main" count="1235" uniqueCount="114">
  <si>
    <t>EXCLUSIVE BEST CHANGE KFT 2024 SZEPTEMBER HAVI FORGALMA</t>
  </si>
  <si>
    <t>VALUTA NEME</t>
  </si>
  <si>
    <t>VALUTA VÉTEL</t>
  </si>
  <si>
    <t>VALUTA ELADÁS</t>
  </si>
  <si>
    <t>VALUTA ÁTADÁS</t>
  </si>
  <si>
    <t>VALUTA ÁTVÉTEL</t>
  </si>
  <si>
    <t>ÖSSZEGE</t>
  </si>
  <si>
    <t>FT ÉRTÉKE</t>
  </si>
  <si>
    <t>KÉSZPÉNZES</t>
  </si>
  <si>
    <t>BANKKÁRTYÁS</t>
  </si>
  <si>
    <t>SZEKSZÁRDI KÖRZET</t>
  </si>
  <si>
    <t>10. SZEKSZÁRD ÉRTÉKTÁR</t>
  </si>
  <si>
    <t>AUD</t>
  </si>
  <si>
    <t>BAM</t>
  </si>
  <si>
    <t>BGN</t>
  </si>
  <si>
    <t>CAD</t>
  </si>
  <si>
    <t>CHF</t>
  </si>
  <si>
    <t>CZK</t>
  </si>
  <si>
    <t>EUR</t>
  </si>
  <si>
    <t>GBP</t>
  </si>
  <si>
    <t>HUF</t>
  </si>
  <si>
    <t>ILS</t>
  </si>
  <si>
    <t>JPY</t>
  </si>
  <si>
    <t>NZD</t>
  </si>
  <si>
    <t>PLN</t>
  </si>
  <si>
    <t>RON</t>
  </si>
  <si>
    <t>RSD</t>
  </si>
  <si>
    <t>TRY</t>
  </si>
  <si>
    <t>USD</t>
  </si>
  <si>
    <t>ÖSSZESEN:</t>
  </si>
  <si>
    <t>11. BONYHÁD</t>
  </si>
  <si>
    <t>12. SZEKSZÁRD BELVÁROS</t>
  </si>
  <si>
    <t>CNY</t>
  </si>
  <si>
    <t>RUB</t>
  </si>
  <si>
    <t>14. PAKS TESCO</t>
  </si>
  <si>
    <t>16. SZEKSZÁRD TESCO</t>
  </si>
  <si>
    <t>17. BAJA TESCO</t>
  </si>
  <si>
    <t>99. MOHÁCS TESCO</t>
  </si>
  <si>
    <t>THB</t>
  </si>
  <si>
    <t>100. KALOCSA BELVÁROS</t>
  </si>
  <si>
    <t>MXN</t>
  </si>
  <si>
    <t>SZEGEDI KÖRZET</t>
  </si>
  <si>
    <t>20. SZEGED ÉRTÉKTÁR</t>
  </si>
  <si>
    <t>23. SZENTES TESCO</t>
  </si>
  <si>
    <t>26. SZEGED MÓRA TESCO</t>
  </si>
  <si>
    <t>27. SZEGED TESCO</t>
  </si>
  <si>
    <t>35. SZEGED TISZA-SAROK</t>
  </si>
  <si>
    <t>36. SZEGED TISZA LAJOS</t>
  </si>
  <si>
    <t>38. HÓDMEZŐVÁSÁRHELY</t>
  </si>
  <si>
    <t>39. SZEGED ÁRKÁD</t>
  </si>
  <si>
    <t>KECSKEMÉTI KÖRZET</t>
  </si>
  <si>
    <t>40. KECSKEMÉT ÉRTÉKTÁR</t>
  </si>
  <si>
    <t>BRL</t>
  </si>
  <si>
    <t>41. SZOLNOK CORA</t>
  </si>
  <si>
    <t>43. KECSKEMÉT ALFÖLD</t>
  </si>
  <si>
    <t>44. CEGLÉD</t>
  </si>
  <si>
    <t>45. KISKUNHALAS TESCO</t>
  </si>
  <si>
    <t>46. KECSKEMÉT TESCO</t>
  </si>
  <si>
    <t>47. SZOLNOK PLAZA</t>
  </si>
  <si>
    <t>49. KISKUNFÉLEGYHÁZA TESCO</t>
  </si>
  <si>
    <t>89. KISKÖRÖS TESCO</t>
  </si>
  <si>
    <t>DEBRECENI KÖRZET</t>
  </si>
  <si>
    <t>50. DEBRECEN ÉRTÉKTÁR</t>
  </si>
  <si>
    <t>52. HAJDÚBÖSZÖRMÉNY TESCO</t>
  </si>
  <si>
    <t>56. KARCAG TESCO</t>
  </si>
  <si>
    <t>60. DEBRECEN TESCO</t>
  </si>
  <si>
    <t>66. HAJDÚSZOBOSZLÓ BELVÁROS</t>
  </si>
  <si>
    <t>67. BERETTYÓ TESCO</t>
  </si>
  <si>
    <t>90. DEBRECEN BAJCSY-2</t>
  </si>
  <si>
    <t>91. DEBRECEN BAJCSY</t>
  </si>
  <si>
    <t>92. DEBRECEN PLAZA</t>
  </si>
  <si>
    <t>93. TISZAÚJVÁROS TESCO</t>
  </si>
  <si>
    <t>94. DEBRECEN KÁLVIN</t>
  </si>
  <si>
    <t>NYÍREGYHÁZAI KÖRZET</t>
  </si>
  <si>
    <t>57. NYÍREGYHÁZA TESCO</t>
  </si>
  <si>
    <t>61. NYÍREGYHÁZA CORSÓ</t>
  </si>
  <si>
    <t>62. NYÍREGYHÁZA PLAZA</t>
  </si>
  <si>
    <t>63. NYÍREGYHÁZA ÉRTÉKTÁR</t>
  </si>
  <si>
    <t>64. KISVÁRDA TESCO</t>
  </si>
  <si>
    <t>81. NYÍRBÁTOR</t>
  </si>
  <si>
    <t>84. MÁTÉSZALKA</t>
  </si>
  <si>
    <t>85. NYÍREGYHÁZA PIROSHÁZ</t>
  </si>
  <si>
    <t>86. NYÍREGYHÁZA ORSZÁGZÁSZLÓ</t>
  </si>
  <si>
    <t>87. SÁTORALJAÚJHELY TESCO</t>
  </si>
  <si>
    <t>BÉKÉSCSABAI KÖRZET</t>
  </si>
  <si>
    <t>71. GYULA</t>
  </si>
  <si>
    <t>74. BÉKÉSCSABA TESCO</t>
  </si>
  <si>
    <t>75. BÉKÉSCSABA ÉRTÉKTÁR</t>
  </si>
  <si>
    <t>76. BÉKÉSCSABA BELVÁROS</t>
  </si>
  <si>
    <t>77. GYULA TESCO</t>
  </si>
  <si>
    <t>79. SZARVAS TESCO</t>
  </si>
  <si>
    <t>105. BÉKÉSCSABA BELVÁROS-2</t>
  </si>
  <si>
    <t>PÉCSI KÖRZET</t>
  </si>
  <si>
    <t>13. PÉCS TESCO</t>
  </si>
  <si>
    <t>18. KOMLÓ TESCO</t>
  </si>
  <si>
    <t>120. PÉCS ÉRTÉKTÁR</t>
  </si>
  <si>
    <t>124. PÉCS IRGALMASOK</t>
  </si>
  <si>
    <t>125. PÉCS ÁRKÁD</t>
  </si>
  <si>
    <t>126. PÉCS ÁRKÁD-2</t>
  </si>
  <si>
    <t>128. SZIGETVÁR</t>
  </si>
  <si>
    <t>143. PÉCS PLAZA</t>
  </si>
  <si>
    <t>KAPOSVÁRI KÖRZET</t>
  </si>
  <si>
    <t>9. DOMBÓVÁR</t>
  </si>
  <si>
    <t>19. DOMBÓVÁR SPAR</t>
  </si>
  <si>
    <t>136. MARCALI</t>
  </si>
  <si>
    <t>139. SIÓFOK TESCO</t>
  </si>
  <si>
    <t>141. NAGYATÁD</t>
  </si>
  <si>
    <t>144. KAPOSVÁR CORSO</t>
  </si>
  <si>
    <t>145. KAPOSVÁR ÉRTÉKTÁR</t>
  </si>
  <si>
    <t>146. SIÓFOK PLAZA</t>
  </si>
  <si>
    <t>149. KAPOSVÁR TESCO</t>
  </si>
  <si>
    <t>150. KAPOSVÁR DOROTTYA</t>
  </si>
  <si>
    <t>Best Change Kft Összesítése:</t>
  </si>
  <si>
    <t>Ö S S Z E S E 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</si>
</sst>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"/>
  </numFmts>
  <fonts count="12" x14ac:knownFonts="1">
    <font>
      <sz val="11"/>
      <color theme="1"/>
      <name val="Calibri"/>
      <family val="2"/>
      <charset val="238"/>
      <scheme val="minor"/>
    </font>
    <font>
      <b/>
      <i/>
      <sz val="16"/>
      <color rgb="FF008080"/>
      <name val="Arial"/>
      <family val="2"/>
      <charset val="238"/>
    </font>
    <font>
      <b/>
      <i/>
      <sz val="12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i/>
      <sz val="14"/>
      <color theme="1"/>
      <name val="Arial"/>
      <family val="2"/>
      <charset val="238"/>
    </font>
    <font>
      <b/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i/>
      <sz val="12"/>
      <color rgb="FF008080"/>
      <name val="Arial"/>
      <family val="2"/>
      <charset val="238"/>
    </font>
    <font>
      <b/>
      <i/>
      <sz val="14"/>
      <color rgb="FFFF0000"/>
      <name val="Arial"/>
      <family val="2"/>
      <charset val="238"/>
    </font>
    <font>
      <i/>
      <sz val="12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i/>
      <sz val="12"/>
      <color rgb="FFFF000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B0FF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B0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/>
    <xf numFmtId="0" fontId="2" fillId="0" borderId="9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7" fillId="5" borderId="0" xfId="0" applyNumberFormat="1" applyFont="1" applyFill="1" applyAlignment="1">
      <alignment horizontal="center"/>
    </xf>
    <xf numFmtId="0" fontId="0" fillId="5" borderId="0" xfId="0" applyFill="1"/>
    <xf numFmtId="0" fontId="4" fillId="3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164" fontId="9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164" fontId="11" fillId="6" borderId="0" xfId="0" applyNumberFormat="1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164" fontId="11" fillId="0" borderId="0" xfId="0" applyNumberFormat="1" applyFont="1" applyAlignment="1">
      <alignment horizontal="center"/>
    </xf>
    <xf numFmtId="164" fontId="10" fillId="5" borderId="0" xfId="0" applyNumberFormat="1" applyFont="1" applyFill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AB4AE-0F8D-41A2-A606-D77F415FD6D3}">
  <dimension ref="B2:I1305"/>
  <sheetViews>
    <sheetView tabSelected="1" topLeftCell="A136" workbookViewId="0">
      <selection activeCell="K7" sqref="K7"/>
    </sheetView>
  </sheetViews>
  <sheetFormatPr defaultRowHeight="14.4" x14ac:dyDescent="0.3"/>
  <cols>
    <col min="1" max="1" width="14.77734375" customWidth="1"/>
    <col min="2" max="2" width="15.6640625" bestFit="1" customWidth="1"/>
    <col min="3" max="6" width="18.77734375" customWidth="1"/>
    <col min="7" max="7" width="14.5546875" bestFit="1" customWidth="1"/>
    <col min="8" max="8" width="17.77734375" bestFit="1" customWidth="1"/>
    <col min="9" max="9" width="18.21875" bestFit="1" customWidth="1"/>
  </cols>
  <sheetData>
    <row r="2" spans="2:9" ht="20.399999999999999" x14ac:dyDescent="0.35">
      <c r="B2" s="1" t="s">
        <v>0</v>
      </c>
      <c r="C2" s="1"/>
      <c r="D2" s="1"/>
      <c r="E2" s="1"/>
      <c r="F2" s="1"/>
      <c r="G2" s="1"/>
      <c r="H2" s="1"/>
      <c r="I2" s="1"/>
    </row>
    <row r="3" spans="2:9" ht="15" thickBot="1" x14ac:dyDescent="0.35"/>
    <row r="4" spans="2:9" ht="16.2" thickTop="1" x14ac:dyDescent="0.3">
      <c r="B4" s="2" t="s">
        <v>1</v>
      </c>
      <c r="C4" s="3" t="s">
        <v>2</v>
      </c>
      <c r="D4" s="3"/>
      <c r="E4" s="4" t="s">
        <v>3</v>
      </c>
      <c r="F4" s="3"/>
      <c r="G4" s="5"/>
      <c r="H4" s="2" t="s">
        <v>4</v>
      </c>
      <c r="I4" s="6" t="s">
        <v>5</v>
      </c>
    </row>
    <row r="5" spans="2:9" ht="15" thickBot="1" x14ac:dyDescent="0.35">
      <c r="B5" s="7"/>
      <c r="C5" s="8" t="s">
        <v>6</v>
      </c>
      <c r="D5" s="8" t="s">
        <v>7</v>
      </c>
      <c r="E5" s="9" t="s">
        <v>6</v>
      </c>
      <c r="F5" s="8" t="s">
        <v>8</v>
      </c>
      <c r="G5" s="10" t="s">
        <v>9</v>
      </c>
      <c r="H5" s="7"/>
      <c r="I5" s="11"/>
    </row>
    <row r="6" spans="2:9" ht="18" thickTop="1" x14ac:dyDescent="0.3">
      <c r="B6" s="12" t="s">
        <v>10</v>
      </c>
      <c r="C6" s="12"/>
      <c r="D6" s="12"/>
      <c r="E6" s="12"/>
      <c r="F6" s="12"/>
      <c r="G6" s="12"/>
      <c r="H6" s="12"/>
      <c r="I6" s="12"/>
    </row>
    <row r="7" spans="2:9" ht="15.6" x14ac:dyDescent="0.3">
      <c r="B7" s="13" t="s">
        <v>11</v>
      </c>
      <c r="C7" s="13"/>
      <c r="D7" s="13"/>
    </row>
    <row r="8" spans="2:9" x14ac:dyDescent="0.3">
      <c r="B8" s="14" t="s">
        <v>12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3200</v>
      </c>
      <c r="I8" s="15">
        <v>3300</v>
      </c>
    </row>
    <row r="9" spans="2:9" x14ac:dyDescent="0.3">
      <c r="B9" s="14" t="s">
        <v>13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80</v>
      </c>
      <c r="I9" s="15">
        <v>0</v>
      </c>
    </row>
    <row r="10" spans="2:9" x14ac:dyDescent="0.3">
      <c r="B10" s="14" t="s">
        <v>14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20500</v>
      </c>
      <c r="I10" s="15">
        <v>9600</v>
      </c>
    </row>
    <row r="11" spans="2:9" x14ac:dyDescent="0.3">
      <c r="B11" s="14" t="s">
        <v>15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32200</v>
      </c>
      <c r="I11" s="15">
        <v>33200</v>
      </c>
    </row>
    <row r="12" spans="2:9" x14ac:dyDescent="0.3">
      <c r="B12" s="14" t="s">
        <v>16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116200</v>
      </c>
      <c r="I12" s="15">
        <v>128400</v>
      </c>
    </row>
    <row r="13" spans="2:9" x14ac:dyDescent="0.3">
      <c r="B13" s="14" t="s">
        <v>17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109500</v>
      </c>
      <c r="I13" s="15">
        <v>102500</v>
      </c>
    </row>
    <row r="14" spans="2:9" x14ac:dyDescent="0.3">
      <c r="B14" s="14" t="s">
        <v>18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758010</v>
      </c>
      <c r="I14" s="15">
        <v>768100</v>
      </c>
    </row>
    <row r="15" spans="2:9" x14ac:dyDescent="0.3">
      <c r="B15" s="14" t="s">
        <v>19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30700</v>
      </c>
      <c r="I15" s="15">
        <v>33000</v>
      </c>
    </row>
    <row r="16" spans="2:9" x14ac:dyDescent="0.3">
      <c r="B16" s="14" t="s">
        <v>20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417890675</v>
      </c>
      <c r="I16" s="15">
        <v>419470500</v>
      </c>
    </row>
    <row r="17" spans="2:9" x14ac:dyDescent="0.3">
      <c r="B17" s="14" t="s">
        <v>21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1000</v>
      </c>
      <c r="I17" s="15">
        <v>0</v>
      </c>
    </row>
    <row r="18" spans="2:9" x14ac:dyDescent="0.3">
      <c r="B18" s="14" t="s">
        <v>22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97000</v>
      </c>
      <c r="I18" s="15">
        <v>95000</v>
      </c>
    </row>
    <row r="19" spans="2:9" x14ac:dyDescent="0.3">
      <c r="B19" s="14" t="s">
        <v>23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450</v>
      </c>
      <c r="I19" s="15">
        <v>50</v>
      </c>
    </row>
    <row r="20" spans="2:9" x14ac:dyDescent="0.3">
      <c r="B20" s="14" t="s">
        <v>24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16800</v>
      </c>
      <c r="I20" s="15">
        <v>11000</v>
      </c>
    </row>
    <row r="21" spans="2:9" x14ac:dyDescent="0.3">
      <c r="B21" s="14" t="s">
        <v>25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61100</v>
      </c>
      <c r="I21" s="15">
        <v>47000</v>
      </c>
    </row>
    <row r="22" spans="2:9" x14ac:dyDescent="0.3">
      <c r="B22" s="14" t="s">
        <v>26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211000</v>
      </c>
      <c r="I22" s="15">
        <v>61000</v>
      </c>
    </row>
    <row r="23" spans="2:9" x14ac:dyDescent="0.3">
      <c r="B23" s="14" t="s">
        <v>27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145500</v>
      </c>
      <c r="I23" s="15">
        <v>100000</v>
      </c>
    </row>
    <row r="24" spans="2:9" x14ac:dyDescent="0.3">
      <c r="B24" s="14" t="s">
        <v>28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79400</v>
      </c>
      <c r="I24" s="15">
        <v>80100</v>
      </c>
    </row>
    <row r="25" spans="2:9" ht="15.6" x14ac:dyDescent="0.3">
      <c r="B25" s="16" t="s">
        <v>29</v>
      </c>
      <c r="C25" s="16"/>
      <c r="D25" s="17">
        <f>SUM(D8:D24)</f>
        <v>0</v>
      </c>
      <c r="E25" s="18"/>
      <c r="F25" s="17">
        <f>SUM(F8:F24)</f>
        <v>0</v>
      </c>
      <c r="G25" s="17">
        <f>SUM(G8:G24)</f>
        <v>0</v>
      </c>
      <c r="H25" s="19"/>
      <c r="I25" s="19"/>
    </row>
    <row r="27" spans="2:9" ht="15.6" x14ac:dyDescent="0.3">
      <c r="B27" s="13" t="s">
        <v>30</v>
      </c>
      <c r="C27" s="13"/>
      <c r="D27" s="13"/>
    </row>
    <row r="28" spans="2:9" x14ac:dyDescent="0.3">
      <c r="B28" s="14" t="s">
        <v>12</v>
      </c>
      <c r="C28" s="15">
        <v>100</v>
      </c>
      <c r="D28" s="15">
        <v>22700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</row>
    <row r="29" spans="2:9" x14ac:dyDescent="0.3">
      <c r="B29" s="14" t="s">
        <v>14</v>
      </c>
      <c r="C29" s="15">
        <v>230</v>
      </c>
      <c r="D29" s="15">
        <v>43900</v>
      </c>
      <c r="E29" s="15">
        <v>0</v>
      </c>
      <c r="F29" s="15">
        <v>0</v>
      </c>
      <c r="G29" s="15">
        <v>0</v>
      </c>
      <c r="H29" s="15">
        <v>2000</v>
      </c>
      <c r="I29" s="15">
        <v>0</v>
      </c>
    </row>
    <row r="30" spans="2:9" x14ac:dyDescent="0.3">
      <c r="B30" s="14" t="s">
        <v>15</v>
      </c>
      <c r="C30" s="15">
        <v>28210</v>
      </c>
      <c r="D30" s="15">
        <v>7161745</v>
      </c>
      <c r="E30" s="15">
        <v>350</v>
      </c>
      <c r="F30" s="15">
        <v>94640</v>
      </c>
      <c r="G30" s="15">
        <v>0</v>
      </c>
      <c r="H30" s="15">
        <v>27300</v>
      </c>
      <c r="I30" s="15">
        <v>0</v>
      </c>
    </row>
    <row r="31" spans="2:9" x14ac:dyDescent="0.3">
      <c r="B31" s="14" t="s">
        <v>16</v>
      </c>
      <c r="C31" s="15">
        <v>5090</v>
      </c>
      <c r="D31" s="15">
        <v>2068650</v>
      </c>
      <c r="E31" s="15">
        <v>240</v>
      </c>
      <c r="F31" s="15">
        <v>59780</v>
      </c>
      <c r="G31" s="15">
        <v>42700</v>
      </c>
      <c r="H31" s="15">
        <v>5500</v>
      </c>
      <c r="I31" s="15">
        <v>200</v>
      </c>
    </row>
    <row r="32" spans="2:9" x14ac:dyDescent="0.3">
      <c r="B32" s="14" t="s">
        <v>17</v>
      </c>
      <c r="C32" s="15">
        <v>19600</v>
      </c>
      <c r="D32" s="15">
        <v>283070</v>
      </c>
      <c r="E32" s="15">
        <v>16100</v>
      </c>
      <c r="F32" s="15">
        <v>194020</v>
      </c>
      <c r="G32" s="15">
        <v>92005</v>
      </c>
      <c r="H32" s="15">
        <v>12500</v>
      </c>
      <c r="I32" s="15">
        <v>5000</v>
      </c>
    </row>
    <row r="33" spans="2:9" x14ac:dyDescent="0.3">
      <c r="B33" s="14" t="s">
        <v>18</v>
      </c>
      <c r="C33" s="15">
        <v>122753</v>
      </c>
      <c r="D33" s="15">
        <v>47172720</v>
      </c>
      <c r="E33" s="15">
        <v>26693</v>
      </c>
      <c r="F33" s="15">
        <v>8415465</v>
      </c>
      <c r="G33" s="15">
        <v>2283370</v>
      </c>
      <c r="H33" s="15">
        <v>100000</v>
      </c>
      <c r="I33" s="15">
        <v>0</v>
      </c>
    </row>
    <row r="34" spans="2:9" x14ac:dyDescent="0.3">
      <c r="B34" s="14" t="s">
        <v>19</v>
      </c>
      <c r="C34" s="15">
        <v>5265</v>
      </c>
      <c r="D34" s="15">
        <v>2406225</v>
      </c>
      <c r="E34" s="15">
        <v>745</v>
      </c>
      <c r="F34" s="15">
        <v>258200</v>
      </c>
      <c r="G34" s="15">
        <v>97779</v>
      </c>
      <c r="H34" s="15">
        <v>4000</v>
      </c>
      <c r="I34" s="15">
        <v>300</v>
      </c>
    </row>
    <row r="35" spans="2:9" x14ac:dyDescent="0.3">
      <c r="B35" s="14" t="s">
        <v>20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300000</v>
      </c>
      <c r="I35" s="15">
        <v>46795000</v>
      </c>
    </row>
    <row r="36" spans="2:9" x14ac:dyDescent="0.3">
      <c r="B36" s="14" t="s">
        <v>24</v>
      </c>
      <c r="C36" s="15">
        <v>240</v>
      </c>
      <c r="D36" s="15">
        <v>20433</v>
      </c>
      <c r="E36" s="15">
        <v>1200</v>
      </c>
      <c r="F36" s="15">
        <v>117200</v>
      </c>
      <c r="G36" s="15">
        <v>0</v>
      </c>
      <c r="H36" s="15">
        <v>0</v>
      </c>
      <c r="I36" s="15">
        <v>2000</v>
      </c>
    </row>
    <row r="37" spans="2:9" x14ac:dyDescent="0.3">
      <c r="B37" s="14" t="s">
        <v>25</v>
      </c>
      <c r="C37" s="15">
        <v>2872</v>
      </c>
      <c r="D37" s="15">
        <v>211322</v>
      </c>
      <c r="E37" s="15">
        <v>17357</v>
      </c>
      <c r="F37" s="15">
        <v>891470</v>
      </c>
      <c r="G37" s="15">
        <v>595251</v>
      </c>
      <c r="H37" s="15">
        <v>0</v>
      </c>
      <c r="I37" s="15">
        <v>10000</v>
      </c>
    </row>
    <row r="38" spans="2:9" x14ac:dyDescent="0.3">
      <c r="B38" s="14" t="s">
        <v>26</v>
      </c>
      <c r="C38" s="15">
        <v>590</v>
      </c>
      <c r="D38" s="15">
        <v>1770</v>
      </c>
      <c r="E38" s="15">
        <v>1300</v>
      </c>
      <c r="F38" s="15">
        <v>4795</v>
      </c>
      <c r="G38" s="15">
        <v>0</v>
      </c>
      <c r="H38" s="15">
        <v>0</v>
      </c>
      <c r="I38" s="15">
        <v>0</v>
      </c>
    </row>
    <row r="39" spans="2:9" x14ac:dyDescent="0.3">
      <c r="B39" s="14" t="s">
        <v>27</v>
      </c>
      <c r="C39" s="15">
        <v>0</v>
      </c>
      <c r="D39" s="15">
        <v>0</v>
      </c>
      <c r="E39" s="15">
        <v>9900</v>
      </c>
      <c r="F39" s="15">
        <v>136030</v>
      </c>
      <c r="G39" s="15">
        <v>0</v>
      </c>
      <c r="H39" s="15">
        <v>0</v>
      </c>
      <c r="I39" s="15">
        <v>10000</v>
      </c>
    </row>
    <row r="40" spans="2:9" x14ac:dyDescent="0.3">
      <c r="B40" s="14" t="s">
        <v>28</v>
      </c>
      <c r="C40" s="15">
        <v>6570</v>
      </c>
      <c r="D40" s="15">
        <v>2267045</v>
      </c>
      <c r="E40" s="15">
        <v>6808</v>
      </c>
      <c r="F40" s="15">
        <v>2385865</v>
      </c>
      <c r="G40" s="15">
        <v>72350</v>
      </c>
      <c r="H40" s="15">
        <v>0</v>
      </c>
      <c r="I40" s="15">
        <v>500</v>
      </c>
    </row>
    <row r="41" spans="2:9" ht="15.6" x14ac:dyDescent="0.3">
      <c r="B41" s="16" t="s">
        <v>29</v>
      </c>
      <c r="C41" s="16"/>
      <c r="D41" s="17">
        <f>SUM(D28:D40)</f>
        <v>61659580</v>
      </c>
      <c r="E41" s="18"/>
      <c r="F41" s="17">
        <f>SUM(F28:F40)</f>
        <v>12557465</v>
      </c>
      <c r="G41" s="17">
        <f>SUM(G28:G40)</f>
        <v>3183455</v>
      </c>
      <c r="H41" s="19"/>
      <c r="I41" s="19"/>
    </row>
    <row r="43" spans="2:9" ht="15.6" x14ac:dyDescent="0.3">
      <c r="B43" s="13" t="s">
        <v>31</v>
      </c>
      <c r="C43" s="13"/>
      <c r="D43" s="13"/>
    </row>
    <row r="44" spans="2:9" x14ac:dyDescent="0.3">
      <c r="B44" s="14" t="s">
        <v>12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300</v>
      </c>
    </row>
    <row r="45" spans="2:9" x14ac:dyDescent="0.3">
      <c r="B45" s="14" t="s">
        <v>13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80</v>
      </c>
    </row>
    <row r="46" spans="2:9" x14ac:dyDescent="0.3">
      <c r="B46" s="14" t="s">
        <v>14</v>
      </c>
      <c r="C46" s="15">
        <v>0</v>
      </c>
      <c r="D46" s="15">
        <v>0</v>
      </c>
      <c r="E46" s="15">
        <v>300</v>
      </c>
      <c r="F46" s="15">
        <v>64385</v>
      </c>
      <c r="G46" s="15">
        <v>0</v>
      </c>
      <c r="H46" s="15">
        <v>100</v>
      </c>
      <c r="I46" s="15">
        <v>500</v>
      </c>
    </row>
    <row r="47" spans="2:9" x14ac:dyDescent="0.3">
      <c r="B47" s="14" t="s">
        <v>16</v>
      </c>
      <c r="C47" s="15">
        <v>37550</v>
      </c>
      <c r="D47" s="15">
        <v>15633380</v>
      </c>
      <c r="E47" s="15">
        <v>1850</v>
      </c>
      <c r="F47" s="15">
        <v>780845</v>
      </c>
      <c r="G47" s="15">
        <v>0</v>
      </c>
      <c r="H47" s="15">
        <v>36800</v>
      </c>
      <c r="I47" s="15">
        <v>1000</v>
      </c>
    </row>
    <row r="48" spans="2:9" x14ac:dyDescent="0.3">
      <c r="B48" s="14" t="s">
        <v>32</v>
      </c>
      <c r="C48" s="15">
        <v>0</v>
      </c>
      <c r="D48" s="15">
        <v>0</v>
      </c>
      <c r="E48" s="15">
        <v>200</v>
      </c>
      <c r="F48" s="15">
        <v>12030</v>
      </c>
      <c r="G48" s="15">
        <v>0</v>
      </c>
      <c r="H48" s="15">
        <v>0</v>
      </c>
      <c r="I48" s="15">
        <v>0</v>
      </c>
    </row>
    <row r="49" spans="2:9" x14ac:dyDescent="0.3">
      <c r="B49" s="14" t="s">
        <v>17</v>
      </c>
      <c r="C49" s="15">
        <v>1900</v>
      </c>
      <c r="D49" s="15">
        <v>28880</v>
      </c>
      <c r="E49" s="15">
        <v>28600</v>
      </c>
      <c r="F49" s="15">
        <v>479987</v>
      </c>
      <c r="G49" s="15">
        <v>0</v>
      </c>
      <c r="H49" s="15">
        <v>0</v>
      </c>
      <c r="I49" s="15">
        <v>33500</v>
      </c>
    </row>
    <row r="50" spans="2:9" x14ac:dyDescent="0.3">
      <c r="B50" s="14" t="s">
        <v>18</v>
      </c>
      <c r="C50" s="15">
        <v>176420</v>
      </c>
      <c r="D50" s="15">
        <v>68891107</v>
      </c>
      <c r="E50" s="15">
        <v>39429</v>
      </c>
      <c r="F50" s="15">
        <v>15595174</v>
      </c>
      <c r="G50" s="15">
        <v>0</v>
      </c>
      <c r="H50" s="15">
        <v>135000</v>
      </c>
      <c r="I50" s="15">
        <v>2020</v>
      </c>
    </row>
    <row r="51" spans="2:9" x14ac:dyDescent="0.3">
      <c r="B51" s="14" t="s">
        <v>19</v>
      </c>
      <c r="C51" s="15">
        <v>12345</v>
      </c>
      <c r="D51" s="15">
        <v>5727945</v>
      </c>
      <c r="E51" s="15">
        <v>5180</v>
      </c>
      <c r="F51" s="15">
        <v>2438015</v>
      </c>
      <c r="G51" s="15">
        <v>0</v>
      </c>
      <c r="H51" s="15">
        <v>10000</v>
      </c>
      <c r="I51" s="15">
        <v>2000</v>
      </c>
    </row>
    <row r="52" spans="2:9" x14ac:dyDescent="0.3">
      <c r="B52" s="14" t="s">
        <v>20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4500000</v>
      </c>
      <c r="I52" s="15">
        <v>69470715</v>
      </c>
    </row>
    <row r="53" spans="2:9" x14ac:dyDescent="0.3">
      <c r="B53" s="14" t="s">
        <v>21</v>
      </c>
      <c r="C53" s="15">
        <v>0</v>
      </c>
      <c r="D53" s="15">
        <v>0</v>
      </c>
      <c r="E53" s="15">
        <v>1000</v>
      </c>
      <c r="F53" s="15">
        <v>105500</v>
      </c>
      <c r="G53" s="15">
        <v>0</v>
      </c>
      <c r="H53" s="15">
        <v>0</v>
      </c>
      <c r="I53" s="15">
        <v>1000</v>
      </c>
    </row>
    <row r="54" spans="2:9" x14ac:dyDescent="0.3">
      <c r="B54" s="14" t="s">
        <v>24</v>
      </c>
      <c r="C54" s="15">
        <v>130</v>
      </c>
      <c r="D54" s="15">
        <v>11790</v>
      </c>
      <c r="E54" s="15">
        <v>500</v>
      </c>
      <c r="F54" s="15">
        <v>47975</v>
      </c>
      <c r="G54" s="15">
        <v>0</v>
      </c>
      <c r="H54" s="15">
        <v>0</v>
      </c>
      <c r="I54" s="15">
        <v>0</v>
      </c>
    </row>
    <row r="55" spans="2:9" x14ac:dyDescent="0.3">
      <c r="B55" s="14" t="s">
        <v>25</v>
      </c>
      <c r="C55" s="15">
        <v>1862</v>
      </c>
      <c r="D55" s="15">
        <v>143991</v>
      </c>
      <c r="E55" s="15">
        <v>9495</v>
      </c>
      <c r="F55" s="15">
        <v>766346</v>
      </c>
      <c r="G55" s="15">
        <v>0</v>
      </c>
      <c r="H55" s="15">
        <v>0</v>
      </c>
      <c r="I55" s="15">
        <v>7100</v>
      </c>
    </row>
    <row r="56" spans="2:9" x14ac:dyDescent="0.3">
      <c r="B56" s="14" t="s">
        <v>26</v>
      </c>
      <c r="C56" s="15">
        <v>4230</v>
      </c>
      <c r="D56" s="15">
        <v>12710</v>
      </c>
      <c r="E56" s="15">
        <v>191430</v>
      </c>
      <c r="F56" s="15">
        <v>764100</v>
      </c>
      <c r="G56" s="15">
        <v>0</v>
      </c>
      <c r="H56" s="15">
        <v>0</v>
      </c>
      <c r="I56" s="15">
        <v>171000</v>
      </c>
    </row>
    <row r="57" spans="2:9" x14ac:dyDescent="0.3">
      <c r="B57" s="14" t="s">
        <v>33</v>
      </c>
      <c r="C57" s="15">
        <v>0</v>
      </c>
      <c r="D57" s="15">
        <v>0</v>
      </c>
      <c r="E57" s="15">
        <v>5000</v>
      </c>
      <c r="F57" s="15">
        <v>24000</v>
      </c>
      <c r="G57" s="15">
        <v>0</v>
      </c>
      <c r="H57" s="15">
        <v>0</v>
      </c>
      <c r="I57" s="15">
        <v>0</v>
      </c>
    </row>
    <row r="58" spans="2:9" x14ac:dyDescent="0.3">
      <c r="B58" s="14" t="s">
        <v>27</v>
      </c>
      <c r="C58" s="15">
        <v>6730</v>
      </c>
      <c r="D58" s="15">
        <v>65955</v>
      </c>
      <c r="E58" s="15">
        <v>31890</v>
      </c>
      <c r="F58" s="15">
        <v>396196</v>
      </c>
      <c r="G58" s="15">
        <v>0</v>
      </c>
      <c r="H58" s="15">
        <v>800</v>
      </c>
      <c r="I58" s="15">
        <v>25000</v>
      </c>
    </row>
    <row r="59" spans="2:9" x14ac:dyDescent="0.3">
      <c r="B59" s="14" t="s">
        <v>28</v>
      </c>
      <c r="C59" s="15">
        <v>7335</v>
      </c>
      <c r="D59" s="15">
        <v>2574337</v>
      </c>
      <c r="E59" s="15">
        <v>14115</v>
      </c>
      <c r="F59" s="15">
        <v>5040872</v>
      </c>
      <c r="G59" s="15">
        <v>0</v>
      </c>
      <c r="H59" s="15">
        <v>5000</v>
      </c>
      <c r="I59" s="15">
        <v>11350</v>
      </c>
    </row>
    <row r="60" spans="2:9" ht="15.6" x14ac:dyDescent="0.3">
      <c r="B60" s="16" t="s">
        <v>29</v>
      </c>
      <c r="C60" s="16"/>
      <c r="D60" s="17">
        <f>SUM(D44:D59)</f>
        <v>93090095</v>
      </c>
      <c r="E60" s="18"/>
      <c r="F60" s="17">
        <f>SUM(F44:F59)</f>
        <v>26515425</v>
      </c>
      <c r="G60" s="17">
        <f>SUM(G44:G59)</f>
        <v>0</v>
      </c>
      <c r="H60" s="19"/>
      <c r="I60" s="19"/>
    </row>
    <row r="62" spans="2:9" ht="15.6" x14ac:dyDescent="0.3">
      <c r="B62" s="13" t="s">
        <v>34</v>
      </c>
      <c r="C62" s="13"/>
      <c r="D62" s="13"/>
    </row>
    <row r="63" spans="2:9" x14ac:dyDescent="0.3">
      <c r="B63" s="14" t="s">
        <v>12</v>
      </c>
      <c r="C63" s="15">
        <v>600</v>
      </c>
      <c r="D63" s="15">
        <v>138575</v>
      </c>
      <c r="E63" s="15">
        <v>1500</v>
      </c>
      <c r="F63" s="15">
        <v>370605</v>
      </c>
      <c r="G63" s="15">
        <v>0</v>
      </c>
      <c r="H63" s="15">
        <v>300</v>
      </c>
      <c r="I63" s="15">
        <v>1400</v>
      </c>
    </row>
    <row r="64" spans="2:9" x14ac:dyDescent="0.3">
      <c r="B64" s="14" t="s">
        <v>14</v>
      </c>
      <c r="C64" s="15">
        <v>165</v>
      </c>
      <c r="D64" s="15">
        <v>31744</v>
      </c>
      <c r="E64" s="15">
        <v>220</v>
      </c>
      <c r="F64" s="15">
        <v>47325</v>
      </c>
      <c r="G64" s="15">
        <v>0</v>
      </c>
      <c r="H64" s="15">
        <v>2000</v>
      </c>
      <c r="I64" s="15">
        <v>0</v>
      </c>
    </row>
    <row r="65" spans="2:9" x14ac:dyDescent="0.3">
      <c r="B65" s="14" t="s">
        <v>15</v>
      </c>
      <c r="C65" s="15">
        <v>0</v>
      </c>
      <c r="D65" s="15">
        <v>0</v>
      </c>
      <c r="E65" s="15">
        <v>100</v>
      </c>
      <c r="F65" s="15">
        <v>0</v>
      </c>
      <c r="G65" s="15">
        <v>27360</v>
      </c>
      <c r="H65" s="15">
        <v>0</v>
      </c>
      <c r="I65" s="15">
        <v>0</v>
      </c>
    </row>
    <row r="66" spans="2:9" x14ac:dyDescent="0.3">
      <c r="B66" s="14" t="s">
        <v>16</v>
      </c>
      <c r="C66" s="15">
        <v>5790</v>
      </c>
      <c r="D66" s="15">
        <v>2373175</v>
      </c>
      <c r="E66" s="15">
        <v>1530</v>
      </c>
      <c r="F66" s="15">
        <v>474940</v>
      </c>
      <c r="G66" s="15">
        <v>174490</v>
      </c>
      <c r="H66" s="15">
        <v>6400</v>
      </c>
      <c r="I66" s="15">
        <v>800</v>
      </c>
    </row>
    <row r="67" spans="2:9" x14ac:dyDescent="0.3">
      <c r="B67" s="14" t="s">
        <v>17</v>
      </c>
      <c r="C67" s="15">
        <v>5000</v>
      </c>
      <c r="D67" s="15">
        <v>70860</v>
      </c>
      <c r="E67" s="15">
        <v>22400</v>
      </c>
      <c r="F67" s="15">
        <v>114820</v>
      </c>
      <c r="G67" s="15">
        <v>274446</v>
      </c>
      <c r="H67" s="15">
        <v>0</v>
      </c>
      <c r="I67" s="15">
        <v>15000</v>
      </c>
    </row>
    <row r="68" spans="2:9" x14ac:dyDescent="0.3">
      <c r="B68" s="14" t="s">
        <v>18</v>
      </c>
      <c r="C68" s="15">
        <v>85766</v>
      </c>
      <c r="D68" s="15">
        <v>33123007</v>
      </c>
      <c r="E68" s="15">
        <v>126340</v>
      </c>
      <c r="F68" s="15">
        <v>38753215</v>
      </c>
      <c r="G68" s="15">
        <v>11717839</v>
      </c>
      <c r="H68" s="15">
        <v>24000</v>
      </c>
      <c r="I68" s="15">
        <v>68200</v>
      </c>
    </row>
    <row r="69" spans="2:9" x14ac:dyDescent="0.3">
      <c r="B69" s="14" t="s">
        <v>19</v>
      </c>
      <c r="C69" s="15">
        <v>2135</v>
      </c>
      <c r="D69" s="15">
        <v>979190</v>
      </c>
      <c r="E69" s="15">
        <v>1850</v>
      </c>
      <c r="F69" s="15">
        <v>772045</v>
      </c>
      <c r="G69" s="15">
        <v>114880</v>
      </c>
      <c r="H69" s="15">
        <v>2000</v>
      </c>
      <c r="I69" s="15">
        <v>1700</v>
      </c>
    </row>
    <row r="70" spans="2:9" x14ac:dyDescent="0.3">
      <c r="B70" s="14" t="s">
        <v>20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25600000</v>
      </c>
      <c r="I70" s="15">
        <v>9543000</v>
      </c>
    </row>
    <row r="71" spans="2:9" x14ac:dyDescent="0.3">
      <c r="B71" s="14" t="s">
        <v>22</v>
      </c>
      <c r="C71" s="15">
        <v>0</v>
      </c>
      <c r="D71" s="15">
        <v>0</v>
      </c>
      <c r="E71" s="15">
        <v>42000</v>
      </c>
      <c r="F71" s="15">
        <v>0</v>
      </c>
      <c r="G71" s="15">
        <v>109883</v>
      </c>
      <c r="H71" s="15">
        <v>0</v>
      </c>
      <c r="I71" s="15">
        <v>27000</v>
      </c>
    </row>
    <row r="72" spans="2:9" x14ac:dyDescent="0.3">
      <c r="B72" s="14" t="s">
        <v>24</v>
      </c>
      <c r="C72" s="15">
        <v>1420</v>
      </c>
      <c r="D72" s="15">
        <v>120605</v>
      </c>
      <c r="E72" s="15">
        <v>3100</v>
      </c>
      <c r="F72" s="15">
        <v>155870</v>
      </c>
      <c r="G72" s="15">
        <v>146600</v>
      </c>
      <c r="H72" s="15">
        <v>1000</v>
      </c>
      <c r="I72" s="15">
        <v>2500</v>
      </c>
    </row>
    <row r="73" spans="2:9" x14ac:dyDescent="0.3">
      <c r="B73" s="14" t="s">
        <v>25</v>
      </c>
      <c r="C73" s="15">
        <v>7138</v>
      </c>
      <c r="D73" s="15">
        <v>526915</v>
      </c>
      <c r="E73" s="15">
        <v>13897</v>
      </c>
      <c r="F73" s="15">
        <v>606225</v>
      </c>
      <c r="G73" s="15">
        <v>584175</v>
      </c>
      <c r="H73" s="15">
        <v>4000</v>
      </c>
      <c r="I73" s="15">
        <v>8500</v>
      </c>
    </row>
    <row r="74" spans="2:9" x14ac:dyDescent="0.3">
      <c r="B74" s="14" t="s">
        <v>26</v>
      </c>
      <c r="C74" s="15">
        <v>16270</v>
      </c>
      <c r="D74" s="15">
        <v>48837</v>
      </c>
      <c r="E74" s="15">
        <v>31900</v>
      </c>
      <c r="F74" s="15">
        <v>88000</v>
      </c>
      <c r="G74" s="15">
        <v>37990</v>
      </c>
      <c r="H74" s="15">
        <v>0</v>
      </c>
      <c r="I74" s="15">
        <v>0</v>
      </c>
    </row>
    <row r="75" spans="2:9" x14ac:dyDescent="0.3">
      <c r="B75" s="14" t="s">
        <v>33</v>
      </c>
      <c r="C75" s="15">
        <v>3500</v>
      </c>
      <c r="D75" s="15">
        <v>7000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</row>
    <row r="76" spans="2:9" x14ac:dyDescent="0.3">
      <c r="B76" s="14" t="s">
        <v>27</v>
      </c>
      <c r="C76" s="15">
        <v>340</v>
      </c>
      <c r="D76" s="15">
        <v>3341</v>
      </c>
      <c r="E76" s="15">
        <v>18750</v>
      </c>
      <c r="F76" s="15">
        <v>181835</v>
      </c>
      <c r="G76" s="15">
        <v>98580</v>
      </c>
      <c r="H76" s="15">
        <v>0</v>
      </c>
      <c r="I76" s="15">
        <v>20500</v>
      </c>
    </row>
    <row r="77" spans="2:9" x14ac:dyDescent="0.3">
      <c r="B77" s="14" t="s">
        <v>28</v>
      </c>
      <c r="C77" s="15">
        <v>5766</v>
      </c>
      <c r="D77" s="15">
        <v>2000841</v>
      </c>
      <c r="E77" s="15">
        <v>37241</v>
      </c>
      <c r="F77" s="15">
        <v>10650090</v>
      </c>
      <c r="G77" s="15">
        <v>2786602</v>
      </c>
      <c r="H77" s="15">
        <v>100</v>
      </c>
      <c r="I77" s="15">
        <v>31900</v>
      </c>
    </row>
    <row r="78" spans="2:9" ht="15.6" x14ac:dyDescent="0.3">
      <c r="B78" s="16" t="s">
        <v>29</v>
      </c>
      <c r="C78" s="16"/>
      <c r="D78" s="17">
        <f>SUM(D63:D77)</f>
        <v>39424090</v>
      </c>
      <c r="E78" s="18"/>
      <c r="F78" s="17">
        <f>SUM(F63:F77)</f>
        <v>52214970</v>
      </c>
      <c r="G78" s="17">
        <f>SUM(G63:G77)</f>
        <v>16072845</v>
      </c>
      <c r="H78" s="19"/>
      <c r="I78" s="19"/>
    </row>
    <row r="80" spans="2:9" ht="15.6" x14ac:dyDescent="0.3">
      <c r="B80" s="13" t="s">
        <v>35</v>
      </c>
      <c r="C80" s="13"/>
      <c r="D80" s="13"/>
    </row>
    <row r="81" spans="2:9" x14ac:dyDescent="0.3">
      <c r="B81" s="14" t="s">
        <v>12</v>
      </c>
      <c r="C81" s="15">
        <v>100</v>
      </c>
      <c r="D81" s="15">
        <v>22535</v>
      </c>
      <c r="E81" s="15">
        <v>1000</v>
      </c>
      <c r="F81" s="15">
        <v>251080</v>
      </c>
      <c r="G81" s="15">
        <v>0</v>
      </c>
      <c r="H81" s="15">
        <v>400</v>
      </c>
      <c r="I81" s="15">
        <v>1300</v>
      </c>
    </row>
    <row r="82" spans="2:9" x14ac:dyDescent="0.3">
      <c r="B82" s="14" t="s">
        <v>14</v>
      </c>
      <c r="C82" s="15">
        <v>100</v>
      </c>
      <c r="D82" s="15">
        <v>19092</v>
      </c>
      <c r="E82" s="15">
        <v>1200</v>
      </c>
      <c r="F82" s="15">
        <v>98075</v>
      </c>
      <c r="G82" s="15">
        <v>157770</v>
      </c>
      <c r="H82" s="15">
        <v>0</v>
      </c>
      <c r="I82" s="15">
        <v>0</v>
      </c>
    </row>
    <row r="83" spans="2:9" x14ac:dyDescent="0.3">
      <c r="B83" s="14" t="s">
        <v>15</v>
      </c>
      <c r="C83" s="15">
        <v>805</v>
      </c>
      <c r="D83" s="15">
        <v>199635</v>
      </c>
      <c r="E83" s="15">
        <v>0</v>
      </c>
      <c r="F83" s="15">
        <v>0</v>
      </c>
      <c r="G83" s="15">
        <v>0</v>
      </c>
      <c r="H83" s="15">
        <v>500</v>
      </c>
      <c r="I83" s="15">
        <v>0</v>
      </c>
    </row>
    <row r="84" spans="2:9" x14ac:dyDescent="0.3">
      <c r="B84" s="14" t="s">
        <v>16</v>
      </c>
      <c r="C84" s="15">
        <v>18280</v>
      </c>
      <c r="D84" s="15">
        <v>7438332</v>
      </c>
      <c r="E84" s="15">
        <v>3460</v>
      </c>
      <c r="F84" s="15">
        <v>460720</v>
      </c>
      <c r="G84" s="15">
        <v>1018115</v>
      </c>
      <c r="H84" s="15">
        <v>19000</v>
      </c>
      <c r="I84" s="15">
        <v>3200</v>
      </c>
    </row>
    <row r="85" spans="2:9" x14ac:dyDescent="0.3">
      <c r="B85" s="14" t="s">
        <v>17</v>
      </c>
      <c r="C85" s="15">
        <v>3500</v>
      </c>
      <c r="D85" s="15">
        <v>49520</v>
      </c>
      <c r="E85" s="15">
        <v>17100</v>
      </c>
      <c r="F85" s="15">
        <v>193070</v>
      </c>
      <c r="G85" s="15">
        <v>108380</v>
      </c>
      <c r="H85" s="15">
        <v>0</v>
      </c>
      <c r="I85" s="15">
        <v>16000</v>
      </c>
    </row>
    <row r="86" spans="2:9" x14ac:dyDescent="0.3">
      <c r="B86" s="14" t="s">
        <v>18</v>
      </c>
      <c r="C86" s="15">
        <v>178168</v>
      </c>
      <c r="D86" s="15">
        <v>68744735</v>
      </c>
      <c r="E86" s="15">
        <v>77542</v>
      </c>
      <c r="F86" s="15">
        <v>18505211</v>
      </c>
      <c r="G86" s="15">
        <v>12544787</v>
      </c>
      <c r="H86" s="15">
        <v>119000</v>
      </c>
      <c r="I86" s="15">
        <v>13500</v>
      </c>
    </row>
    <row r="87" spans="2:9" x14ac:dyDescent="0.3">
      <c r="B87" s="14" t="s">
        <v>19</v>
      </c>
      <c r="C87" s="15">
        <v>10665</v>
      </c>
      <c r="D87" s="15">
        <v>4912643</v>
      </c>
      <c r="E87" s="15">
        <v>2555</v>
      </c>
      <c r="F87" s="15">
        <v>919930</v>
      </c>
      <c r="G87" s="15">
        <v>303108</v>
      </c>
      <c r="H87" s="15">
        <v>9000</v>
      </c>
      <c r="I87" s="15">
        <v>900</v>
      </c>
    </row>
    <row r="88" spans="2:9" x14ac:dyDescent="0.3">
      <c r="B88" s="14" t="s">
        <v>20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2200000</v>
      </c>
      <c r="I88" s="15">
        <v>62720750</v>
      </c>
    </row>
    <row r="89" spans="2:9" x14ac:dyDescent="0.3">
      <c r="B89" s="14" t="s">
        <v>23</v>
      </c>
      <c r="C89" s="15">
        <v>0</v>
      </c>
      <c r="D89" s="15">
        <v>0</v>
      </c>
      <c r="E89" s="15">
        <v>800</v>
      </c>
      <c r="F89" s="15">
        <v>184720</v>
      </c>
      <c r="G89" s="15">
        <v>0</v>
      </c>
      <c r="H89" s="15">
        <v>0</v>
      </c>
      <c r="I89" s="15">
        <v>450</v>
      </c>
    </row>
    <row r="90" spans="2:9" x14ac:dyDescent="0.3">
      <c r="B90" s="14" t="s">
        <v>24</v>
      </c>
      <c r="C90" s="15">
        <v>2020</v>
      </c>
      <c r="D90" s="15">
        <v>171650</v>
      </c>
      <c r="E90" s="15">
        <v>8200</v>
      </c>
      <c r="F90" s="15">
        <v>621180</v>
      </c>
      <c r="G90" s="15">
        <v>180255</v>
      </c>
      <c r="H90" s="15">
        <v>0</v>
      </c>
      <c r="I90" s="15">
        <v>7400</v>
      </c>
    </row>
    <row r="91" spans="2:9" x14ac:dyDescent="0.3">
      <c r="B91" s="14" t="s">
        <v>25</v>
      </c>
      <c r="C91" s="15">
        <v>3358</v>
      </c>
      <c r="D91" s="15">
        <v>247897</v>
      </c>
      <c r="E91" s="15">
        <v>12959</v>
      </c>
      <c r="F91" s="15">
        <v>537900</v>
      </c>
      <c r="G91" s="15">
        <v>572405</v>
      </c>
      <c r="H91" s="15">
        <v>0</v>
      </c>
      <c r="I91" s="15">
        <v>8500</v>
      </c>
    </row>
    <row r="92" spans="2:9" x14ac:dyDescent="0.3">
      <c r="B92" s="14" t="s">
        <v>26</v>
      </c>
      <c r="C92" s="15">
        <v>24550</v>
      </c>
      <c r="D92" s="15">
        <v>73650</v>
      </c>
      <c r="E92" s="15">
        <v>67970</v>
      </c>
      <c r="F92" s="15">
        <v>154889</v>
      </c>
      <c r="G92" s="15">
        <v>112595</v>
      </c>
      <c r="H92" s="15">
        <v>0</v>
      </c>
      <c r="I92" s="15">
        <v>20000</v>
      </c>
    </row>
    <row r="93" spans="2:9" x14ac:dyDescent="0.3">
      <c r="B93" s="14" t="s">
        <v>27</v>
      </c>
      <c r="C93" s="15">
        <v>10180</v>
      </c>
      <c r="D93" s="15">
        <v>100006</v>
      </c>
      <c r="E93" s="15">
        <v>27890</v>
      </c>
      <c r="F93" s="15">
        <v>383795</v>
      </c>
      <c r="G93" s="15">
        <v>0</v>
      </c>
      <c r="H93" s="15">
        <v>0</v>
      </c>
      <c r="I93" s="15">
        <v>20000</v>
      </c>
    </row>
    <row r="94" spans="2:9" x14ac:dyDescent="0.3">
      <c r="B94" s="14" t="s">
        <v>28</v>
      </c>
      <c r="C94" s="15">
        <v>4992</v>
      </c>
      <c r="D94" s="15">
        <v>1738785</v>
      </c>
      <c r="E94" s="15">
        <v>11517</v>
      </c>
      <c r="F94" s="15">
        <v>1825235</v>
      </c>
      <c r="G94" s="15">
        <v>2340070</v>
      </c>
      <c r="H94" s="15">
        <v>2000</v>
      </c>
      <c r="I94" s="15">
        <v>8100</v>
      </c>
    </row>
    <row r="95" spans="2:9" ht="15.6" x14ac:dyDescent="0.3">
      <c r="B95" s="16" t="s">
        <v>29</v>
      </c>
      <c r="C95" s="16"/>
      <c r="D95" s="17">
        <f>SUM(D81:D94)</f>
        <v>83718480</v>
      </c>
      <c r="E95" s="18"/>
      <c r="F95" s="17">
        <f>SUM(F81:F94)</f>
        <v>24135805</v>
      </c>
      <c r="G95" s="17">
        <f>SUM(G81:G94)</f>
        <v>17337485</v>
      </c>
      <c r="H95" s="19"/>
      <c r="I95" s="19"/>
    </row>
    <row r="97" spans="2:9" ht="15.6" x14ac:dyDescent="0.3">
      <c r="B97" s="13" t="s">
        <v>36</v>
      </c>
      <c r="C97" s="13"/>
      <c r="D97" s="13"/>
    </row>
    <row r="98" spans="2:9" x14ac:dyDescent="0.3">
      <c r="B98" s="14" t="s">
        <v>12</v>
      </c>
      <c r="C98" s="15">
        <v>1700</v>
      </c>
      <c r="D98" s="15">
        <v>387955</v>
      </c>
      <c r="E98" s="15">
        <v>0</v>
      </c>
      <c r="F98" s="15">
        <v>0</v>
      </c>
      <c r="G98" s="15">
        <v>0</v>
      </c>
      <c r="H98" s="15">
        <v>1600</v>
      </c>
      <c r="I98" s="15">
        <v>200</v>
      </c>
    </row>
    <row r="99" spans="2:9" x14ac:dyDescent="0.3">
      <c r="B99" s="14" t="s">
        <v>13</v>
      </c>
      <c r="C99" s="15">
        <v>640</v>
      </c>
      <c r="D99" s="15">
        <v>119180</v>
      </c>
      <c r="E99" s="15">
        <v>300</v>
      </c>
      <c r="F99" s="15">
        <v>66630</v>
      </c>
      <c r="G99" s="15">
        <v>0</v>
      </c>
      <c r="H99" s="15">
        <v>0</v>
      </c>
      <c r="I99" s="15">
        <v>0</v>
      </c>
    </row>
    <row r="100" spans="2:9" x14ac:dyDescent="0.3">
      <c r="B100" s="14" t="s">
        <v>14</v>
      </c>
      <c r="C100" s="15">
        <v>115</v>
      </c>
      <c r="D100" s="15">
        <v>22020</v>
      </c>
      <c r="E100" s="15">
        <v>350</v>
      </c>
      <c r="F100" s="15">
        <v>75050</v>
      </c>
      <c r="G100" s="15">
        <v>0</v>
      </c>
      <c r="H100" s="15">
        <v>2000</v>
      </c>
      <c r="I100" s="15">
        <v>0</v>
      </c>
    </row>
    <row r="101" spans="2:9" x14ac:dyDescent="0.3">
      <c r="B101" s="14" t="s">
        <v>15</v>
      </c>
      <c r="C101" s="15">
        <v>2195</v>
      </c>
      <c r="D101" s="15">
        <v>546395</v>
      </c>
      <c r="E101" s="15">
        <v>0</v>
      </c>
      <c r="F101" s="15">
        <v>0</v>
      </c>
      <c r="G101" s="15">
        <v>0</v>
      </c>
      <c r="H101" s="15">
        <v>2000</v>
      </c>
      <c r="I101" s="15">
        <v>0</v>
      </c>
    </row>
    <row r="102" spans="2:9" x14ac:dyDescent="0.3">
      <c r="B102" s="14" t="s">
        <v>16</v>
      </c>
      <c r="C102" s="15">
        <v>9400</v>
      </c>
      <c r="D102" s="15">
        <v>3840538</v>
      </c>
      <c r="E102" s="15">
        <v>1280</v>
      </c>
      <c r="F102" s="15">
        <v>544085</v>
      </c>
      <c r="G102" s="15">
        <v>0</v>
      </c>
      <c r="H102" s="15">
        <v>9200</v>
      </c>
      <c r="I102" s="15">
        <v>800</v>
      </c>
    </row>
    <row r="103" spans="2:9" x14ac:dyDescent="0.3">
      <c r="B103" s="14" t="s">
        <v>17</v>
      </c>
      <c r="C103" s="15">
        <v>0</v>
      </c>
      <c r="D103" s="15">
        <v>0</v>
      </c>
      <c r="E103" s="15">
        <v>5100</v>
      </c>
      <c r="F103" s="15">
        <v>37125</v>
      </c>
      <c r="G103" s="15">
        <v>51240</v>
      </c>
      <c r="H103" s="15">
        <v>0</v>
      </c>
      <c r="I103" s="15">
        <v>0</v>
      </c>
    </row>
    <row r="104" spans="2:9" x14ac:dyDescent="0.3">
      <c r="B104" s="14" t="s">
        <v>18</v>
      </c>
      <c r="C104" s="15">
        <v>166429</v>
      </c>
      <c r="D104" s="15">
        <v>64383805</v>
      </c>
      <c r="E104" s="15">
        <v>64805</v>
      </c>
      <c r="F104" s="15">
        <v>19731224</v>
      </c>
      <c r="G104" s="15">
        <v>6265967</v>
      </c>
      <c r="H104" s="15">
        <v>114120</v>
      </c>
      <c r="I104" s="15">
        <v>7000</v>
      </c>
    </row>
    <row r="105" spans="2:9" x14ac:dyDescent="0.3">
      <c r="B105" s="14" t="s">
        <v>19</v>
      </c>
      <c r="C105" s="15">
        <v>2640</v>
      </c>
      <c r="D105" s="15">
        <v>1212672</v>
      </c>
      <c r="E105" s="15">
        <v>670</v>
      </c>
      <c r="F105" s="15">
        <v>248965</v>
      </c>
      <c r="G105" s="15">
        <v>71325</v>
      </c>
      <c r="H105" s="15">
        <v>1600</v>
      </c>
      <c r="I105" s="15">
        <v>500</v>
      </c>
    </row>
    <row r="106" spans="2:9" x14ac:dyDescent="0.3">
      <c r="B106" s="14" t="s">
        <v>20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1512070</v>
      </c>
      <c r="I106" s="15">
        <v>52300570</v>
      </c>
    </row>
    <row r="107" spans="2:9" x14ac:dyDescent="0.3">
      <c r="B107" s="14" t="s">
        <v>22</v>
      </c>
      <c r="C107" s="15">
        <v>0</v>
      </c>
      <c r="D107" s="15">
        <v>0</v>
      </c>
      <c r="E107" s="15">
        <v>70000</v>
      </c>
      <c r="F107" s="15">
        <v>0</v>
      </c>
      <c r="G107" s="15">
        <v>186200</v>
      </c>
      <c r="H107" s="15">
        <v>0</v>
      </c>
      <c r="I107" s="15">
        <v>70000</v>
      </c>
    </row>
    <row r="108" spans="2:9" x14ac:dyDescent="0.3">
      <c r="B108" s="14" t="s">
        <v>23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  <c r="H108" s="15">
        <v>50</v>
      </c>
      <c r="I108" s="15">
        <v>0</v>
      </c>
    </row>
    <row r="109" spans="2:9" x14ac:dyDescent="0.3">
      <c r="B109" s="14" t="s">
        <v>24</v>
      </c>
      <c r="C109" s="15">
        <v>860</v>
      </c>
      <c r="D109" s="15">
        <v>72735</v>
      </c>
      <c r="E109" s="15">
        <v>2860</v>
      </c>
      <c r="F109" s="15">
        <v>279800</v>
      </c>
      <c r="G109" s="15">
        <v>0</v>
      </c>
      <c r="H109" s="15">
        <v>0</v>
      </c>
      <c r="I109" s="15">
        <v>2400</v>
      </c>
    </row>
    <row r="110" spans="2:9" x14ac:dyDescent="0.3">
      <c r="B110" s="14" t="s">
        <v>25</v>
      </c>
      <c r="C110" s="15">
        <v>7345</v>
      </c>
      <c r="D110" s="15">
        <v>541415</v>
      </c>
      <c r="E110" s="15">
        <v>13540</v>
      </c>
      <c r="F110" s="15">
        <v>831795</v>
      </c>
      <c r="G110" s="15">
        <v>327488</v>
      </c>
      <c r="H110" s="15">
        <v>3000</v>
      </c>
      <c r="I110" s="15">
        <v>8000</v>
      </c>
    </row>
    <row r="111" spans="2:9" x14ac:dyDescent="0.3">
      <c r="B111" s="14" t="s">
        <v>26</v>
      </c>
      <c r="C111" s="15">
        <v>37250</v>
      </c>
      <c r="D111" s="15">
        <v>111775</v>
      </c>
      <c r="E111" s="15">
        <v>107640</v>
      </c>
      <c r="F111" s="15">
        <v>417921</v>
      </c>
      <c r="G111" s="15">
        <v>0</v>
      </c>
      <c r="H111" s="15">
        <v>0</v>
      </c>
      <c r="I111" s="15">
        <v>20000</v>
      </c>
    </row>
    <row r="112" spans="2:9" x14ac:dyDescent="0.3">
      <c r="B112" s="14" t="s">
        <v>27</v>
      </c>
      <c r="C112" s="15">
        <v>1070</v>
      </c>
      <c r="D112" s="15">
        <v>10485</v>
      </c>
      <c r="E112" s="15">
        <v>14140</v>
      </c>
      <c r="F112" s="15">
        <v>215035</v>
      </c>
      <c r="G112" s="15">
        <v>0</v>
      </c>
      <c r="H112" s="15">
        <v>0</v>
      </c>
      <c r="I112" s="15">
        <v>10000</v>
      </c>
    </row>
    <row r="113" spans="2:9" x14ac:dyDescent="0.3">
      <c r="B113" s="14" t="s">
        <v>28</v>
      </c>
      <c r="C113" s="15">
        <v>8815</v>
      </c>
      <c r="D113" s="15">
        <v>3070785</v>
      </c>
      <c r="E113" s="15">
        <v>7583</v>
      </c>
      <c r="F113" s="15">
        <v>1794985</v>
      </c>
      <c r="G113" s="15">
        <v>949250</v>
      </c>
      <c r="H113" s="15">
        <v>6500</v>
      </c>
      <c r="I113" s="15">
        <v>6000</v>
      </c>
    </row>
    <row r="114" spans="2:9" ht="15.6" x14ac:dyDescent="0.3">
      <c r="B114" s="16" t="s">
        <v>29</v>
      </c>
      <c r="C114" s="16"/>
      <c r="D114" s="17">
        <f>SUM(D98:D113)</f>
        <v>74319760</v>
      </c>
      <c r="E114" s="18"/>
      <c r="F114" s="17">
        <f>SUM(F98:F113)</f>
        <v>24242615</v>
      </c>
      <c r="G114" s="17">
        <f>SUM(G98:G113)</f>
        <v>7851470</v>
      </c>
      <c r="H114" s="19"/>
      <c r="I114" s="19"/>
    </row>
    <row r="116" spans="2:9" ht="15.6" x14ac:dyDescent="0.3">
      <c r="B116" s="13" t="s">
        <v>37</v>
      </c>
      <c r="C116" s="13"/>
      <c r="D116" s="13"/>
    </row>
    <row r="117" spans="2:9" x14ac:dyDescent="0.3">
      <c r="B117" s="14" t="s">
        <v>13</v>
      </c>
      <c r="C117" s="15">
        <v>490</v>
      </c>
      <c r="D117" s="15">
        <v>91271</v>
      </c>
      <c r="E117" s="15">
        <v>390</v>
      </c>
      <c r="F117" s="15">
        <v>53310</v>
      </c>
      <c r="G117" s="15">
        <v>33325</v>
      </c>
      <c r="H117" s="15">
        <v>0</v>
      </c>
      <c r="I117" s="15">
        <v>0</v>
      </c>
    </row>
    <row r="118" spans="2:9" x14ac:dyDescent="0.3">
      <c r="B118" s="14" t="s">
        <v>14</v>
      </c>
      <c r="C118" s="15">
        <v>0</v>
      </c>
      <c r="D118" s="15">
        <v>0</v>
      </c>
      <c r="E118" s="15">
        <v>120</v>
      </c>
      <c r="F118" s="15">
        <v>4295</v>
      </c>
      <c r="G118" s="15">
        <v>21477</v>
      </c>
      <c r="H118" s="15">
        <v>1500</v>
      </c>
      <c r="I118" s="15">
        <v>0</v>
      </c>
    </row>
    <row r="119" spans="2:9" x14ac:dyDescent="0.3">
      <c r="B119" s="14" t="s">
        <v>16</v>
      </c>
      <c r="C119" s="15">
        <v>12540</v>
      </c>
      <c r="D119" s="15">
        <v>5088159</v>
      </c>
      <c r="E119" s="15">
        <v>110</v>
      </c>
      <c r="F119" s="15">
        <v>46970</v>
      </c>
      <c r="G119" s="15">
        <v>0</v>
      </c>
      <c r="H119" s="15">
        <v>12500</v>
      </c>
      <c r="I119" s="15">
        <v>200</v>
      </c>
    </row>
    <row r="120" spans="2:9" x14ac:dyDescent="0.3">
      <c r="B120" s="14" t="s">
        <v>17</v>
      </c>
      <c r="C120" s="15">
        <v>1600</v>
      </c>
      <c r="D120" s="15">
        <v>22735</v>
      </c>
      <c r="E120" s="15">
        <v>27800</v>
      </c>
      <c r="F120" s="15">
        <v>429680</v>
      </c>
      <c r="G120" s="15">
        <v>55165</v>
      </c>
      <c r="H120" s="15">
        <v>0</v>
      </c>
      <c r="I120" s="15">
        <v>5000</v>
      </c>
    </row>
    <row r="121" spans="2:9" x14ac:dyDescent="0.3">
      <c r="B121" s="14" t="s">
        <v>18</v>
      </c>
      <c r="C121" s="15">
        <v>121056</v>
      </c>
      <c r="D121" s="15">
        <v>46618574</v>
      </c>
      <c r="E121" s="15">
        <v>33882</v>
      </c>
      <c r="F121" s="15">
        <v>11634394</v>
      </c>
      <c r="G121" s="15">
        <v>1907358</v>
      </c>
      <c r="H121" s="15">
        <v>92000</v>
      </c>
      <c r="I121" s="15">
        <v>4060</v>
      </c>
    </row>
    <row r="122" spans="2:9" x14ac:dyDescent="0.3">
      <c r="B122" s="14" t="s">
        <v>19</v>
      </c>
      <c r="C122" s="15">
        <v>2400</v>
      </c>
      <c r="D122" s="15">
        <v>1093455</v>
      </c>
      <c r="E122" s="15">
        <v>2235</v>
      </c>
      <c r="F122" s="15">
        <v>798836</v>
      </c>
      <c r="G122" s="15">
        <v>268198</v>
      </c>
      <c r="H122" s="15">
        <v>800</v>
      </c>
      <c r="I122" s="15">
        <v>800</v>
      </c>
    </row>
    <row r="123" spans="2:9" x14ac:dyDescent="0.3">
      <c r="B123" s="14" t="s">
        <v>20</v>
      </c>
      <c r="C123" s="15">
        <v>0</v>
      </c>
      <c r="D123" s="15">
        <v>0</v>
      </c>
      <c r="E123" s="15">
        <v>0</v>
      </c>
      <c r="F123" s="15">
        <v>0</v>
      </c>
      <c r="G123" s="15">
        <v>0</v>
      </c>
      <c r="H123" s="15">
        <v>3820000</v>
      </c>
      <c r="I123" s="15">
        <v>39958930</v>
      </c>
    </row>
    <row r="124" spans="2:9" x14ac:dyDescent="0.3">
      <c r="B124" s="14" t="s">
        <v>24</v>
      </c>
      <c r="C124" s="15">
        <v>10</v>
      </c>
      <c r="D124" s="15">
        <v>851</v>
      </c>
      <c r="E124" s="15">
        <v>1780</v>
      </c>
      <c r="F124" s="15">
        <v>174200</v>
      </c>
      <c r="G124" s="15">
        <v>0</v>
      </c>
      <c r="H124" s="15">
        <v>0</v>
      </c>
      <c r="I124" s="15">
        <v>2000</v>
      </c>
    </row>
    <row r="125" spans="2:9" x14ac:dyDescent="0.3">
      <c r="B125" s="14" t="s">
        <v>25</v>
      </c>
      <c r="C125" s="15">
        <v>4803</v>
      </c>
      <c r="D125" s="15">
        <v>353646</v>
      </c>
      <c r="E125" s="15">
        <v>13328</v>
      </c>
      <c r="F125" s="15">
        <v>747400</v>
      </c>
      <c r="G125" s="15">
        <v>387505</v>
      </c>
      <c r="H125" s="15">
        <v>0</v>
      </c>
      <c r="I125" s="15">
        <v>10000</v>
      </c>
    </row>
    <row r="126" spans="2:9" x14ac:dyDescent="0.3">
      <c r="B126" s="14" t="s">
        <v>26</v>
      </c>
      <c r="C126" s="15">
        <v>65240</v>
      </c>
      <c r="D126" s="15">
        <v>196265</v>
      </c>
      <c r="E126" s="15">
        <v>64550</v>
      </c>
      <c r="F126" s="15">
        <v>202175</v>
      </c>
      <c r="G126" s="15">
        <v>48805</v>
      </c>
      <c r="H126" s="15">
        <v>30000</v>
      </c>
      <c r="I126" s="15">
        <v>0</v>
      </c>
    </row>
    <row r="127" spans="2:9" x14ac:dyDescent="0.3">
      <c r="B127" s="14" t="s">
        <v>38</v>
      </c>
      <c r="C127" s="15">
        <v>0</v>
      </c>
      <c r="D127" s="15">
        <v>0</v>
      </c>
      <c r="E127" s="15">
        <v>20</v>
      </c>
      <c r="F127" s="15">
        <v>0</v>
      </c>
      <c r="G127" s="15">
        <v>280</v>
      </c>
      <c r="H127" s="15">
        <v>0</v>
      </c>
      <c r="I127" s="15">
        <v>0</v>
      </c>
    </row>
    <row r="128" spans="2:9" x14ac:dyDescent="0.3">
      <c r="B128" s="14" t="s">
        <v>27</v>
      </c>
      <c r="C128" s="15">
        <v>1015</v>
      </c>
      <c r="D128" s="15">
        <v>9948</v>
      </c>
      <c r="E128" s="15">
        <v>12320</v>
      </c>
      <c r="F128" s="15">
        <v>174290</v>
      </c>
      <c r="G128" s="15">
        <v>80</v>
      </c>
      <c r="H128" s="15">
        <v>0</v>
      </c>
      <c r="I128" s="15">
        <v>10000</v>
      </c>
    </row>
    <row r="129" spans="2:9" x14ac:dyDescent="0.3">
      <c r="B129" s="14" t="s">
        <v>28</v>
      </c>
      <c r="C129" s="15">
        <v>2465</v>
      </c>
      <c r="D129" s="15">
        <v>851081</v>
      </c>
      <c r="E129" s="15">
        <v>10457</v>
      </c>
      <c r="F129" s="15">
        <v>2102925</v>
      </c>
      <c r="G129" s="15">
        <v>1666277</v>
      </c>
      <c r="H129" s="15">
        <v>1000</v>
      </c>
      <c r="I129" s="15">
        <v>8450</v>
      </c>
    </row>
    <row r="130" spans="2:9" ht="15.6" x14ac:dyDescent="0.3">
      <c r="B130" s="16" t="s">
        <v>29</v>
      </c>
      <c r="C130" s="16"/>
      <c r="D130" s="17">
        <f>SUM(D117:D129)</f>
        <v>54325985</v>
      </c>
      <c r="E130" s="18"/>
      <c r="F130" s="17">
        <f>SUM(F117:F129)</f>
        <v>16368475</v>
      </c>
      <c r="G130" s="17">
        <f>SUM(G117:G129)</f>
        <v>4388470</v>
      </c>
      <c r="H130" s="19"/>
      <c r="I130" s="19"/>
    </row>
    <row r="132" spans="2:9" ht="15.6" x14ac:dyDescent="0.3">
      <c r="B132" s="13" t="s">
        <v>39</v>
      </c>
      <c r="C132" s="13"/>
      <c r="D132" s="13"/>
    </row>
    <row r="133" spans="2:9" x14ac:dyDescent="0.3">
      <c r="B133" s="14" t="s">
        <v>14</v>
      </c>
      <c r="C133" s="15">
        <v>195</v>
      </c>
      <c r="D133" s="15">
        <v>37330</v>
      </c>
      <c r="E133" s="15">
        <v>300</v>
      </c>
      <c r="F133" s="15">
        <v>63828</v>
      </c>
      <c r="G133" s="15">
        <v>0</v>
      </c>
      <c r="H133" s="15">
        <v>2000</v>
      </c>
      <c r="I133" s="15">
        <v>0</v>
      </c>
    </row>
    <row r="134" spans="2:9" x14ac:dyDescent="0.3">
      <c r="B134" s="14" t="s">
        <v>15</v>
      </c>
      <c r="C134" s="15">
        <v>3100</v>
      </c>
      <c r="D134" s="15">
        <v>782740</v>
      </c>
      <c r="E134" s="15">
        <v>170</v>
      </c>
      <c r="F134" s="15">
        <v>45370</v>
      </c>
      <c r="G134" s="15">
        <v>0</v>
      </c>
      <c r="H134" s="15">
        <v>3400</v>
      </c>
      <c r="I134" s="15">
        <v>200</v>
      </c>
    </row>
    <row r="135" spans="2:9" x14ac:dyDescent="0.3">
      <c r="B135" s="14" t="s">
        <v>16</v>
      </c>
      <c r="C135" s="15">
        <v>38000</v>
      </c>
      <c r="D135" s="15">
        <v>15823189</v>
      </c>
      <c r="E135" s="15">
        <v>560</v>
      </c>
      <c r="F135" s="15">
        <v>235251</v>
      </c>
      <c r="G135" s="15">
        <v>0</v>
      </c>
      <c r="H135" s="15">
        <v>39000</v>
      </c>
      <c r="I135" s="15">
        <v>0</v>
      </c>
    </row>
    <row r="136" spans="2:9" x14ac:dyDescent="0.3">
      <c r="B136" s="14" t="s">
        <v>32</v>
      </c>
      <c r="C136" s="15">
        <v>101</v>
      </c>
      <c r="D136" s="15">
        <v>4650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</row>
    <row r="137" spans="2:9" x14ac:dyDescent="0.3">
      <c r="B137" s="14" t="s">
        <v>17</v>
      </c>
      <c r="C137" s="15">
        <v>7200</v>
      </c>
      <c r="D137" s="15">
        <v>109490</v>
      </c>
      <c r="E137" s="15">
        <v>38800</v>
      </c>
      <c r="F137" s="15">
        <v>651370</v>
      </c>
      <c r="G137" s="15">
        <v>0</v>
      </c>
      <c r="H137" s="15">
        <v>0</v>
      </c>
      <c r="I137" s="15">
        <v>35000</v>
      </c>
    </row>
    <row r="138" spans="2:9" x14ac:dyDescent="0.3">
      <c r="B138" s="14" t="s">
        <v>18</v>
      </c>
      <c r="C138" s="15">
        <v>260762</v>
      </c>
      <c r="D138" s="15">
        <v>101860127</v>
      </c>
      <c r="E138" s="15">
        <v>89492</v>
      </c>
      <c r="F138" s="15">
        <v>35406620</v>
      </c>
      <c r="G138" s="15">
        <v>0</v>
      </c>
      <c r="H138" s="15">
        <v>184000</v>
      </c>
      <c r="I138" s="15">
        <v>8250</v>
      </c>
    </row>
    <row r="139" spans="2:9" x14ac:dyDescent="0.3">
      <c r="B139" s="14" t="s">
        <v>19</v>
      </c>
      <c r="C139" s="15">
        <v>4980</v>
      </c>
      <c r="D139" s="15">
        <v>2320505</v>
      </c>
      <c r="E139" s="15">
        <v>670</v>
      </c>
      <c r="F139" s="15">
        <v>315439</v>
      </c>
      <c r="G139" s="15">
        <v>0</v>
      </c>
      <c r="H139" s="15">
        <v>5600</v>
      </c>
      <c r="I139" s="15">
        <v>500</v>
      </c>
    </row>
    <row r="140" spans="2:9" x14ac:dyDescent="0.3">
      <c r="B140" s="14" t="s">
        <v>20</v>
      </c>
      <c r="C140" s="15">
        <v>0</v>
      </c>
      <c r="D140" s="15">
        <v>0</v>
      </c>
      <c r="E140" s="15">
        <v>0</v>
      </c>
      <c r="F140" s="15">
        <v>0</v>
      </c>
      <c r="G140" s="15">
        <v>0</v>
      </c>
      <c r="H140" s="15">
        <v>6818500</v>
      </c>
      <c r="I140" s="15">
        <v>88924000</v>
      </c>
    </row>
    <row r="141" spans="2:9" x14ac:dyDescent="0.3">
      <c r="B141" s="14" t="s">
        <v>40</v>
      </c>
      <c r="C141" s="15">
        <v>540</v>
      </c>
      <c r="D141" s="15">
        <v>8640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</row>
    <row r="142" spans="2:9" x14ac:dyDescent="0.3">
      <c r="B142" s="14" t="s">
        <v>24</v>
      </c>
      <c r="C142" s="15">
        <v>140</v>
      </c>
      <c r="D142" s="15">
        <v>12893</v>
      </c>
      <c r="E142" s="15">
        <v>0</v>
      </c>
      <c r="F142" s="15">
        <v>0</v>
      </c>
      <c r="G142" s="15">
        <v>0</v>
      </c>
      <c r="H142" s="15">
        <v>0</v>
      </c>
      <c r="I142" s="15">
        <v>500</v>
      </c>
    </row>
    <row r="143" spans="2:9" x14ac:dyDescent="0.3">
      <c r="B143" s="14" t="s">
        <v>25</v>
      </c>
      <c r="C143" s="15">
        <v>4929</v>
      </c>
      <c r="D143" s="15">
        <v>381629</v>
      </c>
      <c r="E143" s="15">
        <v>16136</v>
      </c>
      <c r="F143" s="15">
        <v>1306469</v>
      </c>
      <c r="G143" s="15">
        <v>0</v>
      </c>
      <c r="H143" s="15">
        <v>0</v>
      </c>
      <c r="I143" s="15">
        <v>9000</v>
      </c>
    </row>
    <row r="144" spans="2:9" x14ac:dyDescent="0.3">
      <c r="B144" s="14" t="s">
        <v>26</v>
      </c>
      <c r="C144" s="15">
        <v>23610</v>
      </c>
      <c r="D144" s="15">
        <v>71150</v>
      </c>
      <c r="E144" s="15">
        <v>17700</v>
      </c>
      <c r="F144" s="15">
        <v>70800</v>
      </c>
      <c r="G144" s="15">
        <v>0</v>
      </c>
      <c r="H144" s="15">
        <v>31000</v>
      </c>
      <c r="I144" s="15">
        <v>0</v>
      </c>
    </row>
    <row r="145" spans="2:9" x14ac:dyDescent="0.3">
      <c r="B145" s="14" t="s">
        <v>27</v>
      </c>
      <c r="C145" s="15">
        <v>40</v>
      </c>
      <c r="D145" s="15">
        <v>392</v>
      </c>
      <c r="E145" s="15">
        <v>51625</v>
      </c>
      <c r="F145" s="15">
        <v>724786</v>
      </c>
      <c r="G145" s="15">
        <v>0</v>
      </c>
      <c r="H145" s="15">
        <v>0</v>
      </c>
      <c r="I145" s="15">
        <v>50800</v>
      </c>
    </row>
    <row r="146" spans="2:9" x14ac:dyDescent="0.3">
      <c r="B146" s="14" t="s">
        <v>28</v>
      </c>
      <c r="C146" s="15">
        <v>7656</v>
      </c>
      <c r="D146" s="15">
        <v>2684100</v>
      </c>
      <c r="E146" s="15">
        <v>13629</v>
      </c>
      <c r="F146" s="15">
        <v>4855947</v>
      </c>
      <c r="G146" s="15">
        <v>0</v>
      </c>
      <c r="H146" s="15">
        <v>5500</v>
      </c>
      <c r="I146" s="15">
        <v>13100</v>
      </c>
    </row>
    <row r="147" spans="2:9" ht="15.6" x14ac:dyDescent="0.3">
      <c r="B147" s="16" t="s">
        <v>29</v>
      </c>
      <c r="C147" s="16"/>
      <c r="D147" s="17">
        <f>SUM(D133:D146)</f>
        <v>124096835</v>
      </c>
      <c r="E147" s="18"/>
      <c r="F147" s="17">
        <f>SUM(F133:F146)</f>
        <v>43675880</v>
      </c>
      <c r="G147" s="17">
        <f>SUM(G133:G146)</f>
        <v>0</v>
      </c>
      <c r="H147" s="19"/>
      <c r="I147" s="19"/>
    </row>
    <row r="149" spans="2:9" ht="17.399999999999999" x14ac:dyDescent="0.3">
      <c r="B149" s="20" t="s">
        <v>41</v>
      </c>
      <c r="C149" s="20"/>
      <c r="D149" s="20"/>
      <c r="E149" s="20"/>
      <c r="F149" s="20"/>
      <c r="G149" s="20"/>
      <c r="H149" s="20"/>
      <c r="I149" s="20"/>
    </row>
    <row r="150" spans="2:9" ht="15.6" x14ac:dyDescent="0.3">
      <c r="B150" s="13" t="s">
        <v>42</v>
      </c>
      <c r="C150" s="13"/>
      <c r="D150" s="13"/>
    </row>
    <row r="151" spans="2:9" x14ac:dyDescent="0.3">
      <c r="B151" s="14" t="s">
        <v>12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38700</v>
      </c>
      <c r="I151" s="15">
        <v>39500</v>
      </c>
    </row>
    <row r="152" spans="2:9" x14ac:dyDescent="0.3">
      <c r="B152" s="14" t="s">
        <v>14</v>
      </c>
      <c r="C152" s="15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1500</v>
      </c>
      <c r="I152" s="15">
        <v>0</v>
      </c>
    </row>
    <row r="153" spans="2:9" x14ac:dyDescent="0.3">
      <c r="B153" s="14" t="s">
        <v>15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  <c r="H153" s="15">
        <v>10700</v>
      </c>
      <c r="I153" s="15">
        <v>12600</v>
      </c>
    </row>
    <row r="154" spans="2:9" x14ac:dyDescent="0.3">
      <c r="B154" s="14" t="s">
        <v>16</v>
      </c>
      <c r="C154" s="15">
        <v>0</v>
      </c>
      <c r="D154" s="15">
        <v>0</v>
      </c>
      <c r="E154" s="15">
        <v>0</v>
      </c>
      <c r="F154" s="15">
        <v>0</v>
      </c>
      <c r="G154" s="15">
        <v>0</v>
      </c>
      <c r="H154" s="15">
        <v>58000</v>
      </c>
      <c r="I154" s="15">
        <v>57500</v>
      </c>
    </row>
    <row r="155" spans="2:9" x14ac:dyDescent="0.3">
      <c r="B155" s="14" t="s">
        <v>32</v>
      </c>
      <c r="C155" s="15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3500</v>
      </c>
      <c r="I155" s="15">
        <v>11000</v>
      </c>
    </row>
    <row r="156" spans="2:9" x14ac:dyDescent="0.3">
      <c r="B156" s="14" t="s">
        <v>17</v>
      </c>
      <c r="C156" s="15">
        <v>0</v>
      </c>
      <c r="D156" s="15">
        <v>0</v>
      </c>
      <c r="E156" s="15">
        <v>0</v>
      </c>
      <c r="F156" s="15">
        <v>0</v>
      </c>
      <c r="G156" s="15">
        <v>0</v>
      </c>
      <c r="H156" s="15">
        <v>360000</v>
      </c>
      <c r="I156" s="15">
        <v>350000</v>
      </c>
    </row>
    <row r="157" spans="2:9" x14ac:dyDescent="0.3">
      <c r="B157" s="14" t="s">
        <v>18</v>
      </c>
      <c r="C157" s="15">
        <v>0</v>
      </c>
      <c r="D157" s="15">
        <v>0</v>
      </c>
      <c r="E157" s="15">
        <v>0</v>
      </c>
      <c r="F157" s="15">
        <v>0</v>
      </c>
      <c r="G157" s="15">
        <v>0</v>
      </c>
      <c r="H157" s="15">
        <v>847050</v>
      </c>
      <c r="I157" s="15">
        <v>858600</v>
      </c>
    </row>
    <row r="158" spans="2:9" x14ac:dyDescent="0.3">
      <c r="B158" s="14" t="s">
        <v>19</v>
      </c>
      <c r="C158" s="15">
        <v>0</v>
      </c>
      <c r="D158" s="15">
        <v>0</v>
      </c>
      <c r="E158" s="15">
        <v>0</v>
      </c>
      <c r="F158" s="15">
        <v>0</v>
      </c>
      <c r="G158" s="15">
        <v>0</v>
      </c>
      <c r="H158" s="15">
        <v>57010</v>
      </c>
      <c r="I158" s="15">
        <v>61010</v>
      </c>
    </row>
    <row r="159" spans="2:9" x14ac:dyDescent="0.3">
      <c r="B159" s="14" t="s">
        <v>20</v>
      </c>
      <c r="C159" s="15">
        <v>0</v>
      </c>
      <c r="D159" s="15">
        <v>0</v>
      </c>
      <c r="E159" s="15">
        <v>0</v>
      </c>
      <c r="F159" s="15">
        <v>0</v>
      </c>
      <c r="G159" s="15">
        <v>0</v>
      </c>
      <c r="H159" s="15">
        <v>513363860</v>
      </c>
      <c r="I159" s="15">
        <v>508274415</v>
      </c>
    </row>
    <row r="160" spans="2:9" x14ac:dyDescent="0.3">
      <c r="B160" s="14" t="s">
        <v>21</v>
      </c>
      <c r="C160" s="15">
        <v>0</v>
      </c>
      <c r="D160" s="15">
        <v>0</v>
      </c>
      <c r="E160" s="15">
        <v>0</v>
      </c>
      <c r="F160" s="15">
        <v>0</v>
      </c>
      <c r="G160" s="15">
        <v>0</v>
      </c>
      <c r="H160" s="15">
        <v>4000</v>
      </c>
      <c r="I160" s="15">
        <v>0</v>
      </c>
    </row>
    <row r="161" spans="2:9" x14ac:dyDescent="0.3">
      <c r="B161" s="14" t="s">
        <v>40</v>
      </c>
      <c r="C161" s="15">
        <v>0</v>
      </c>
      <c r="D161" s="15">
        <v>0</v>
      </c>
      <c r="E161" s="15">
        <v>0</v>
      </c>
      <c r="F161" s="15">
        <v>0</v>
      </c>
      <c r="G161" s="15">
        <v>0</v>
      </c>
      <c r="H161" s="15">
        <v>1000</v>
      </c>
      <c r="I161" s="15">
        <v>0</v>
      </c>
    </row>
    <row r="162" spans="2:9" x14ac:dyDescent="0.3">
      <c r="B162" s="14" t="s">
        <v>23</v>
      </c>
      <c r="C162" s="15">
        <v>0</v>
      </c>
      <c r="D162" s="15">
        <v>0</v>
      </c>
      <c r="E162" s="15">
        <v>0</v>
      </c>
      <c r="F162" s="15">
        <v>0</v>
      </c>
      <c r="G162" s="15">
        <v>0</v>
      </c>
      <c r="H162" s="15">
        <v>2000</v>
      </c>
      <c r="I162" s="15">
        <v>0</v>
      </c>
    </row>
    <row r="163" spans="2:9" x14ac:dyDescent="0.3">
      <c r="B163" s="14" t="s">
        <v>24</v>
      </c>
      <c r="C163" s="15">
        <v>0</v>
      </c>
      <c r="D163" s="15">
        <v>0</v>
      </c>
      <c r="E163" s="15">
        <v>0</v>
      </c>
      <c r="F163" s="15">
        <v>0</v>
      </c>
      <c r="G163" s="15">
        <v>0</v>
      </c>
      <c r="H163" s="15">
        <v>51000</v>
      </c>
      <c r="I163" s="15">
        <v>59000</v>
      </c>
    </row>
    <row r="164" spans="2:9" x14ac:dyDescent="0.3">
      <c r="B164" s="14" t="s">
        <v>25</v>
      </c>
      <c r="C164" s="15">
        <v>0</v>
      </c>
      <c r="D164" s="15">
        <v>0</v>
      </c>
      <c r="E164" s="15">
        <v>0</v>
      </c>
      <c r="F164" s="15">
        <v>0</v>
      </c>
      <c r="G164" s="15">
        <v>0</v>
      </c>
      <c r="H164" s="15">
        <v>191000</v>
      </c>
      <c r="I164" s="15">
        <v>123000</v>
      </c>
    </row>
    <row r="165" spans="2:9" x14ac:dyDescent="0.3">
      <c r="B165" s="14" t="s">
        <v>26</v>
      </c>
      <c r="C165" s="15">
        <v>0</v>
      </c>
      <c r="D165" s="15">
        <v>0</v>
      </c>
      <c r="E165" s="15">
        <v>0</v>
      </c>
      <c r="F165" s="15">
        <v>0</v>
      </c>
      <c r="G165" s="15">
        <v>0</v>
      </c>
      <c r="H165" s="15">
        <v>150000</v>
      </c>
      <c r="I165" s="15">
        <v>750000</v>
      </c>
    </row>
    <row r="166" spans="2:9" x14ac:dyDescent="0.3">
      <c r="B166" s="14" t="s">
        <v>38</v>
      </c>
      <c r="C166" s="15">
        <v>0</v>
      </c>
      <c r="D166" s="15">
        <v>0</v>
      </c>
      <c r="E166" s="15">
        <v>0</v>
      </c>
      <c r="F166" s="15">
        <v>0</v>
      </c>
      <c r="G166" s="15">
        <v>0</v>
      </c>
      <c r="H166" s="15">
        <v>23600</v>
      </c>
      <c r="I166" s="15">
        <v>0</v>
      </c>
    </row>
    <row r="167" spans="2:9" x14ac:dyDescent="0.3">
      <c r="B167" s="14" t="s">
        <v>27</v>
      </c>
      <c r="C167" s="15">
        <v>0</v>
      </c>
      <c r="D167" s="15">
        <v>0</v>
      </c>
      <c r="E167" s="15">
        <v>0</v>
      </c>
      <c r="F167" s="15">
        <v>0</v>
      </c>
      <c r="G167" s="15">
        <v>0</v>
      </c>
      <c r="H167" s="15">
        <v>225000</v>
      </c>
      <c r="I167" s="15">
        <v>300000</v>
      </c>
    </row>
    <row r="168" spans="2:9" x14ac:dyDescent="0.3">
      <c r="B168" s="14" t="s">
        <v>28</v>
      </c>
      <c r="C168" s="15">
        <v>0</v>
      </c>
      <c r="D168" s="15">
        <v>0</v>
      </c>
      <c r="E168" s="15">
        <v>0</v>
      </c>
      <c r="F168" s="15">
        <v>0</v>
      </c>
      <c r="G168" s="15">
        <v>0</v>
      </c>
      <c r="H168" s="15">
        <v>148000</v>
      </c>
      <c r="I168" s="15">
        <v>152500</v>
      </c>
    </row>
    <row r="169" spans="2:9" ht="15.6" x14ac:dyDescent="0.3">
      <c r="B169" s="16" t="s">
        <v>29</v>
      </c>
      <c r="C169" s="16"/>
      <c r="D169" s="17">
        <f>SUM(D151:D168)</f>
        <v>0</v>
      </c>
      <c r="E169" s="18"/>
      <c r="F169" s="17">
        <f>SUM(F151:F168)</f>
        <v>0</v>
      </c>
      <c r="G169" s="17">
        <f>SUM(G151:G168)</f>
        <v>0</v>
      </c>
      <c r="H169" s="19"/>
      <c r="I169" s="19"/>
    </row>
    <row r="171" spans="2:9" ht="15.6" x14ac:dyDescent="0.3">
      <c r="B171" s="13" t="s">
        <v>43</v>
      </c>
      <c r="C171" s="13"/>
      <c r="D171" s="13"/>
    </row>
    <row r="172" spans="2:9" x14ac:dyDescent="0.3">
      <c r="B172" s="14" t="s">
        <v>12</v>
      </c>
      <c r="C172" s="15">
        <v>0</v>
      </c>
      <c r="D172" s="15">
        <v>0</v>
      </c>
      <c r="E172" s="15">
        <v>1000</v>
      </c>
      <c r="F172" s="15">
        <v>0</v>
      </c>
      <c r="G172" s="15">
        <v>251680</v>
      </c>
      <c r="H172" s="15">
        <v>0</v>
      </c>
      <c r="I172" s="15">
        <v>1000</v>
      </c>
    </row>
    <row r="173" spans="2:9" x14ac:dyDescent="0.3">
      <c r="B173" s="14" t="s">
        <v>14</v>
      </c>
      <c r="C173" s="15">
        <v>25</v>
      </c>
      <c r="D173" s="15">
        <v>4770</v>
      </c>
      <c r="E173" s="15">
        <v>1475</v>
      </c>
      <c r="F173" s="15">
        <v>283740</v>
      </c>
      <c r="G173" s="15">
        <v>31988</v>
      </c>
      <c r="H173" s="15">
        <v>0</v>
      </c>
      <c r="I173" s="15">
        <v>1000</v>
      </c>
    </row>
    <row r="174" spans="2:9" x14ac:dyDescent="0.3">
      <c r="B174" s="14" t="s">
        <v>15</v>
      </c>
      <c r="C174" s="15">
        <v>300</v>
      </c>
      <c r="D174" s="15">
        <v>73910</v>
      </c>
      <c r="E174" s="15">
        <v>0</v>
      </c>
      <c r="F174" s="15">
        <v>0</v>
      </c>
      <c r="G174" s="15">
        <v>0</v>
      </c>
      <c r="H174" s="15">
        <v>800</v>
      </c>
      <c r="I174" s="15">
        <v>0</v>
      </c>
    </row>
    <row r="175" spans="2:9" x14ac:dyDescent="0.3">
      <c r="B175" s="14" t="s">
        <v>16</v>
      </c>
      <c r="C175" s="15">
        <v>2780</v>
      </c>
      <c r="D175" s="15">
        <v>1132585</v>
      </c>
      <c r="E175" s="15">
        <v>1610</v>
      </c>
      <c r="F175" s="15">
        <v>598560</v>
      </c>
      <c r="G175" s="15">
        <v>89825</v>
      </c>
      <c r="H175" s="15">
        <v>1000</v>
      </c>
      <c r="I175" s="15">
        <v>0</v>
      </c>
    </row>
    <row r="176" spans="2:9" x14ac:dyDescent="0.3">
      <c r="B176" s="14" t="s">
        <v>17</v>
      </c>
      <c r="C176" s="15">
        <v>300</v>
      </c>
      <c r="D176" s="15">
        <v>4240</v>
      </c>
      <c r="E176" s="15">
        <v>47300</v>
      </c>
      <c r="F176" s="15">
        <v>354065</v>
      </c>
      <c r="G176" s="15">
        <v>478075</v>
      </c>
      <c r="H176" s="15">
        <v>0</v>
      </c>
      <c r="I176" s="15">
        <v>45000</v>
      </c>
    </row>
    <row r="177" spans="2:9" x14ac:dyDescent="0.3">
      <c r="B177" s="14" t="s">
        <v>18</v>
      </c>
      <c r="C177" s="15">
        <v>88536</v>
      </c>
      <c r="D177" s="15">
        <v>34075117</v>
      </c>
      <c r="E177" s="15">
        <v>101186</v>
      </c>
      <c r="F177" s="15">
        <v>27726696</v>
      </c>
      <c r="G177" s="15">
        <v>12817599</v>
      </c>
      <c r="H177" s="15">
        <v>66000</v>
      </c>
      <c r="I177" s="15">
        <v>80600</v>
      </c>
    </row>
    <row r="178" spans="2:9" x14ac:dyDescent="0.3">
      <c r="B178" s="14" t="s">
        <v>19</v>
      </c>
      <c r="C178" s="15">
        <v>6225</v>
      </c>
      <c r="D178" s="15">
        <v>2850635</v>
      </c>
      <c r="E178" s="15">
        <v>7960</v>
      </c>
      <c r="F178" s="15">
        <v>1984090</v>
      </c>
      <c r="G178" s="15">
        <v>1830571</v>
      </c>
      <c r="H178" s="15">
        <v>3000</v>
      </c>
      <c r="I178" s="15">
        <v>4000</v>
      </c>
    </row>
    <row r="179" spans="2:9" x14ac:dyDescent="0.3">
      <c r="B179" s="14" t="s">
        <v>20</v>
      </c>
      <c r="C179" s="15">
        <v>0</v>
      </c>
      <c r="D179" s="15">
        <v>0</v>
      </c>
      <c r="E179" s="15">
        <v>0</v>
      </c>
      <c r="F179" s="15">
        <v>0</v>
      </c>
      <c r="G179" s="15">
        <v>0</v>
      </c>
      <c r="H179" s="15">
        <v>38500000</v>
      </c>
      <c r="I179" s="15">
        <v>42772000</v>
      </c>
    </row>
    <row r="180" spans="2:9" x14ac:dyDescent="0.3">
      <c r="B180" s="14" t="s">
        <v>21</v>
      </c>
      <c r="C180" s="15">
        <v>0</v>
      </c>
      <c r="D180" s="15">
        <v>0</v>
      </c>
      <c r="E180" s="15">
        <v>300</v>
      </c>
      <c r="F180" s="15">
        <v>31330</v>
      </c>
      <c r="G180" s="15">
        <v>0</v>
      </c>
      <c r="H180" s="15">
        <v>0</v>
      </c>
      <c r="I180" s="15">
        <v>0</v>
      </c>
    </row>
    <row r="181" spans="2:9" x14ac:dyDescent="0.3">
      <c r="B181" s="14" t="s">
        <v>23</v>
      </c>
      <c r="C181" s="15">
        <v>0</v>
      </c>
      <c r="D181" s="15">
        <v>0</v>
      </c>
      <c r="E181" s="15">
        <v>2200</v>
      </c>
      <c r="F181" s="15">
        <v>0</v>
      </c>
      <c r="G181" s="15">
        <v>508200</v>
      </c>
      <c r="H181" s="15">
        <v>0</v>
      </c>
      <c r="I181" s="15">
        <v>2000</v>
      </c>
    </row>
    <row r="182" spans="2:9" x14ac:dyDescent="0.3">
      <c r="B182" s="14" t="s">
        <v>24</v>
      </c>
      <c r="C182" s="15">
        <v>5140</v>
      </c>
      <c r="D182" s="15">
        <v>452828</v>
      </c>
      <c r="E182" s="15">
        <v>5550</v>
      </c>
      <c r="F182" s="15">
        <v>398520</v>
      </c>
      <c r="G182" s="15">
        <v>147272</v>
      </c>
      <c r="H182" s="15">
        <v>4000</v>
      </c>
      <c r="I182" s="15">
        <v>4000</v>
      </c>
    </row>
    <row r="183" spans="2:9" x14ac:dyDescent="0.3">
      <c r="B183" s="14" t="s">
        <v>25</v>
      </c>
      <c r="C183" s="15">
        <v>3214</v>
      </c>
      <c r="D183" s="15">
        <v>236275</v>
      </c>
      <c r="E183" s="15">
        <v>32903</v>
      </c>
      <c r="F183" s="15">
        <v>1677312</v>
      </c>
      <c r="G183" s="15">
        <v>1139817</v>
      </c>
      <c r="H183" s="15">
        <v>0</v>
      </c>
      <c r="I183" s="15">
        <v>33000</v>
      </c>
    </row>
    <row r="184" spans="2:9" x14ac:dyDescent="0.3">
      <c r="B184" s="14" t="s">
        <v>26</v>
      </c>
      <c r="C184" s="15">
        <v>11990</v>
      </c>
      <c r="D184" s="15">
        <v>35970</v>
      </c>
      <c r="E184" s="15">
        <v>18880</v>
      </c>
      <c r="F184" s="15">
        <v>41921</v>
      </c>
      <c r="G184" s="15">
        <v>33600</v>
      </c>
      <c r="H184" s="15">
        <v>0</v>
      </c>
      <c r="I184" s="15">
        <v>0</v>
      </c>
    </row>
    <row r="185" spans="2:9" x14ac:dyDescent="0.3">
      <c r="B185" s="14" t="s">
        <v>33</v>
      </c>
      <c r="C185" s="15">
        <v>29900</v>
      </c>
      <c r="D185" s="15">
        <v>102555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</row>
    <row r="186" spans="2:9" x14ac:dyDescent="0.3">
      <c r="B186" s="14" t="s">
        <v>27</v>
      </c>
      <c r="C186" s="15">
        <v>1625</v>
      </c>
      <c r="D186" s="15">
        <v>15925</v>
      </c>
      <c r="E186" s="15">
        <v>19630</v>
      </c>
      <c r="F186" s="15">
        <v>142400</v>
      </c>
      <c r="G186" s="15">
        <v>149474</v>
      </c>
      <c r="H186" s="15">
        <v>0</v>
      </c>
      <c r="I186" s="15">
        <v>15000</v>
      </c>
    </row>
    <row r="187" spans="2:9" x14ac:dyDescent="0.3">
      <c r="B187" s="14" t="s">
        <v>28</v>
      </c>
      <c r="C187" s="15">
        <v>5147</v>
      </c>
      <c r="D187" s="15">
        <v>1791860</v>
      </c>
      <c r="E187" s="15">
        <v>7739</v>
      </c>
      <c r="F187" s="15">
        <v>2061181</v>
      </c>
      <c r="G187" s="15">
        <v>734334</v>
      </c>
      <c r="H187" s="15">
        <v>2000</v>
      </c>
      <c r="I187" s="15">
        <v>6650</v>
      </c>
    </row>
    <row r="188" spans="2:9" ht="15.6" x14ac:dyDescent="0.3">
      <c r="B188" s="16" t="s">
        <v>29</v>
      </c>
      <c r="C188" s="16"/>
      <c r="D188" s="17">
        <f>SUM(D172:D187)</f>
        <v>40776670</v>
      </c>
      <c r="E188" s="18"/>
      <c r="F188" s="17">
        <f>SUM(F172:F187)</f>
        <v>35299815</v>
      </c>
      <c r="G188" s="17">
        <f>SUM(G172:G187)</f>
        <v>18212435</v>
      </c>
      <c r="H188" s="19"/>
      <c r="I188" s="19"/>
    </row>
    <row r="190" spans="2:9" ht="15.6" x14ac:dyDescent="0.3">
      <c r="B190" s="13" t="s">
        <v>44</v>
      </c>
      <c r="C190" s="13"/>
      <c r="D190" s="13"/>
    </row>
    <row r="191" spans="2:9" x14ac:dyDescent="0.3">
      <c r="B191" s="14" t="s">
        <v>12</v>
      </c>
      <c r="C191" s="15">
        <v>0</v>
      </c>
      <c r="D191" s="15">
        <v>0</v>
      </c>
      <c r="E191" s="15">
        <v>50</v>
      </c>
      <c r="F191" s="15">
        <v>0</v>
      </c>
      <c r="G191" s="15">
        <v>12555</v>
      </c>
      <c r="H191" s="15">
        <v>0</v>
      </c>
      <c r="I191" s="15">
        <v>0</v>
      </c>
    </row>
    <row r="192" spans="2:9" x14ac:dyDescent="0.3">
      <c r="B192" s="14" t="s">
        <v>14</v>
      </c>
      <c r="C192" s="15">
        <v>25</v>
      </c>
      <c r="D192" s="15">
        <v>4777</v>
      </c>
      <c r="E192" s="15">
        <v>1225</v>
      </c>
      <c r="F192" s="15">
        <v>208890</v>
      </c>
      <c r="G192" s="15">
        <v>52232</v>
      </c>
      <c r="H192" s="15">
        <v>0</v>
      </c>
      <c r="I192" s="15">
        <v>0</v>
      </c>
    </row>
    <row r="193" spans="2:9" x14ac:dyDescent="0.3">
      <c r="B193" s="14" t="s">
        <v>15</v>
      </c>
      <c r="C193" s="15">
        <v>1375</v>
      </c>
      <c r="D193" s="15">
        <v>344945</v>
      </c>
      <c r="E193" s="15">
        <v>0</v>
      </c>
      <c r="F193" s="15">
        <v>0</v>
      </c>
      <c r="G193" s="15">
        <v>0</v>
      </c>
      <c r="H193" s="15">
        <v>1500</v>
      </c>
      <c r="I193" s="15">
        <v>0</v>
      </c>
    </row>
    <row r="194" spans="2:9" x14ac:dyDescent="0.3">
      <c r="B194" s="14" t="s">
        <v>16</v>
      </c>
      <c r="C194" s="15">
        <v>6480</v>
      </c>
      <c r="D194" s="15">
        <v>2652361</v>
      </c>
      <c r="E194" s="15">
        <v>230</v>
      </c>
      <c r="F194" s="15">
        <v>98095</v>
      </c>
      <c r="G194" s="15">
        <v>0</v>
      </c>
      <c r="H194" s="15">
        <v>6500</v>
      </c>
      <c r="I194" s="15">
        <v>0</v>
      </c>
    </row>
    <row r="195" spans="2:9" x14ac:dyDescent="0.3">
      <c r="B195" s="14" t="s">
        <v>32</v>
      </c>
      <c r="C195" s="15">
        <v>682</v>
      </c>
      <c r="D195" s="15">
        <v>31415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</row>
    <row r="196" spans="2:9" x14ac:dyDescent="0.3">
      <c r="B196" s="14" t="s">
        <v>17</v>
      </c>
      <c r="C196" s="15">
        <v>200</v>
      </c>
      <c r="D196" s="15">
        <v>3038</v>
      </c>
      <c r="E196" s="15">
        <v>13800</v>
      </c>
      <c r="F196" s="15">
        <v>195310</v>
      </c>
      <c r="G196" s="15">
        <v>43230</v>
      </c>
      <c r="H196" s="15">
        <v>0</v>
      </c>
      <c r="I196" s="15">
        <v>15000</v>
      </c>
    </row>
    <row r="197" spans="2:9" x14ac:dyDescent="0.3">
      <c r="B197" s="14" t="s">
        <v>18</v>
      </c>
      <c r="C197" s="15">
        <v>73134</v>
      </c>
      <c r="D197" s="15">
        <v>28207040</v>
      </c>
      <c r="E197" s="15">
        <v>90159</v>
      </c>
      <c r="F197" s="15">
        <v>25632281</v>
      </c>
      <c r="G197" s="15">
        <v>10358018</v>
      </c>
      <c r="H197" s="15">
        <v>21000</v>
      </c>
      <c r="I197" s="15">
        <v>38600</v>
      </c>
    </row>
    <row r="198" spans="2:9" x14ac:dyDescent="0.3">
      <c r="B198" s="14" t="s">
        <v>19</v>
      </c>
      <c r="C198" s="15">
        <v>1600</v>
      </c>
      <c r="D198" s="15">
        <v>733615</v>
      </c>
      <c r="E198" s="15">
        <v>225</v>
      </c>
      <c r="F198" s="15">
        <v>107165</v>
      </c>
      <c r="G198" s="15">
        <v>0</v>
      </c>
      <c r="H198" s="15">
        <v>1500</v>
      </c>
      <c r="I198" s="15">
        <v>0</v>
      </c>
    </row>
    <row r="199" spans="2:9" x14ac:dyDescent="0.3">
      <c r="B199" s="14" t="s">
        <v>20</v>
      </c>
      <c r="C199" s="15">
        <v>0</v>
      </c>
      <c r="D199" s="15">
        <v>0</v>
      </c>
      <c r="E199" s="15">
        <v>0</v>
      </c>
      <c r="F199" s="15">
        <v>0</v>
      </c>
      <c r="G199" s="15">
        <v>0</v>
      </c>
      <c r="H199" s="15">
        <v>11300000</v>
      </c>
      <c r="I199" s="15">
        <v>16847000</v>
      </c>
    </row>
    <row r="200" spans="2:9" x14ac:dyDescent="0.3">
      <c r="B200" s="14" t="s">
        <v>22</v>
      </c>
      <c r="C200" s="15">
        <v>40000</v>
      </c>
      <c r="D200" s="15">
        <v>97510</v>
      </c>
      <c r="E200" s="15">
        <v>20000</v>
      </c>
      <c r="F200" s="15">
        <v>53290</v>
      </c>
      <c r="G200" s="15">
        <v>0</v>
      </c>
      <c r="H200" s="15">
        <v>0</v>
      </c>
      <c r="I200" s="15">
        <v>0</v>
      </c>
    </row>
    <row r="201" spans="2:9" x14ac:dyDescent="0.3">
      <c r="B201" s="14" t="s">
        <v>24</v>
      </c>
      <c r="C201" s="15">
        <v>430</v>
      </c>
      <c r="D201" s="15">
        <v>37281</v>
      </c>
      <c r="E201" s="15">
        <v>1990</v>
      </c>
      <c r="F201" s="15">
        <v>182275</v>
      </c>
      <c r="G201" s="15">
        <v>11700</v>
      </c>
      <c r="H201" s="15">
        <v>0</v>
      </c>
      <c r="I201" s="15">
        <v>2000</v>
      </c>
    </row>
    <row r="202" spans="2:9" x14ac:dyDescent="0.3">
      <c r="B202" s="14" t="s">
        <v>25</v>
      </c>
      <c r="C202" s="15">
        <v>8569</v>
      </c>
      <c r="D202" s="15">
        <v>644463</v>
      </c>
      <c r="E202" s="15">
        <v>16831</v>
      </c>
      <c r="F202" s="15">
        <v>661735</v>
      </c>
      <c r="G202" s="15">
        <v>758550</v>
      </c>
      <c r="H202" s="15">
        <v>0</v>
      </c>
      <c r="I202" s="15">
        <v>5000</v>
      </c>
    </row>
    <row r="203" spans="2:9" x14ac:dyDescent="0.3">
      <c r="B203" s="14" t="s">
        <v>26</v>
      </c>
      <c r="C203" s="15">
        <v>197870</v>
      </c>
      <c r="D203" s="15">
        <v>593610</v>
      </c>
      <c r="E203" s="15">
        <v>147850</v>
      </c>
      <c r="F203" s="15">
        <v>438160</v>
      </c>
      <c r="G203" s="15">
        <v>152000</v>
      </c>
      <c r="H203" s="15">
        <v>0</v>
      </c>
      <c r="I203" s="15">
        <v>50000</v>
      </c>
    </row>
    <row r="204" spans="2:9" x14ac:dyDescent="0.3">
      <c r="B204" s="14" t="s">
        <v>27</v>
      </c>
      <c r="C204" s="15">
        <v>350</v>
      </c>
      <c r="D204" s="15">
        <v>3430</v>
      </c>
      <c r="E204" s="15">
        <v>22345</v>
      </c>
      <c r="F204" s="15">
        <v>213565</v>
      </c>
      <c r="G204" s="15">
        <v>68730</v>
      </c>
      <c r="H204" s="15">
        <v>0</v>
      </c>
      <c r="I204" s="15">
        <v>20000</v>
      </c>
    </row>
    <row r="205" spans="2:9" x14ac:dyDescent="0.3">
      <c r="B205" s="14" t="s">
        <v>28</v>
      </c>
      <c r="C205" s="15">
        <v>6028</v>
      </c>
      <c r="D205" s="15">
        <v>2090115</v>
      </c>
      <c r="E205" s="15">
        <v>7036</v>
      </c>
      <c r="F205" s="15">
        <v>1378004</v>
      </c>
      <c r="G205" s="15">
        <v>1166665</v>
      </c>
      <c r="H205" s="15">
        <v>5000</v>
      </c>
      <c r="I205" s="15">
        <v>6000</v>
      </c>
    </row>
    <row r="206" spans="2:9" ht="15.6" x14ac:dyDescent="0.3">
      <c r="B206" s="16" t="s">
        <v>29</v>
      </c>
      <c r="C206" s="16"/>
      <c r="D206" s="17">
        <f>SUM(D191:D205)</f>
        <v>35443600</v>
      </c>
      <c r="E206" s="18"/>
      <c r="F206" s="17">
        <f>SUM(F191:F205)</f>
        <v>29168770</v>
      </c>
      <c r="G206" s="17">
        <f>SUM(G191:G205)</f>
        <v>12623680</v>
      </c>
      <c r="H206" s="19"/>
      <c r="I206" s="19"/>
    </row>
    <row r="208" spans="2:9" ht="15.6" x14ac:dyDescent="0.3">
      <c r="B208" s="13" t="s">
        <v>45</v>
      </c>
      <c r="C208" s="13"/>
      <c r="D208" s="13"/>
    </row>
    <row r="209" spans="2:9" x14ac:dyDescent="0.3">
      <c r="B209" s="14" t="s">
        <v>12</v>
      </c>
      <c r="C209" s="15">
        <v>200</v>
      </c>
      <c r="D209" s="15">
        <v>45630</v>
      </c>
      <c r="E209" s="15">
        <v>50</v>
      </c>
      <c r="F209" s="15">
        <v>12700</v>
      </c>
      <c r="G209" s="15">
        <v>0</v>
      </c>
      <c r="H209" s="15">
        <v>0</v>
      </c>
      <c r="I209" s="15">
        <v>0</v>
      </c>
    </row>
    <row r="210" spans="2:9" x14ac:dyDescent="0.3">
      <c r="B210" s="14" t="s">
        <v>13</v>
      </c>
      <c r="C210" s="15">
        <v>20</v>
      </c>
      <c r="D210" s="15">
        <v>3800</v>
      </c>
      <c r="E210" s="15">
        <v>20</v>
      </c>
      <c r="F210" s="15">
        <v>4410</v>
      </c>
      <c r="G210" s="15">
        <v>0</v>
      </c>
      <c r="H210" s="15">
        <v>0</v>
      </c>
      <c r="I210" s="15">
        <v>0</v>
      </c>
    </row>
    <row r="211" spans="2:9" x14ac:dyDescent="0.3">
      <c r="B211" s="14" t="s">
        <v>14</v>
      </c>
      <c r="C211" s="15">
        <v>100</v>
      </c>
      <c r="D211" s="15">
        <v>19100</v>
      </c>
      <c r="E211" s="15">
        <v>510</v>
      </c>
      <c r="F211" s="15">
        <v>106460</v>
      </c>
      <c r="G211" s="15">
        <v>2143</v>
      </c>
      <c r="H211" s="15">
        <v>0</v>
      </c>
      <c r="I211" s="15">
        <v>0</v>
      </c>
    </row>
    <row r="212" spans="2:9" x14ac:dyDescent="0.3">
      <c r="B212" s="14" t="s">
        <v>15</v>
      </c>
      <c r="C212" s="15">
        <v>780</v>
      </c>
      <c r="D212" s="15">
        <v>194735</v>
      </c>
      <c r="E212" s="15">
        <v>40</v>
      </c>
      <c r="F212" s="15">
        <v>10875</v>
      </c>
      <c r="G212" s="15">
        <v>0</v>
      </c>
      <c r="H212" s="15">
        <v>1000</v>
      </c>
      <c r="I212" s="15">
        <v>0</v>
      </c>
    </row>
    <row r="213" spans="2:9" x14ac:dyDescent="0.3">
      <c r="B213" s="14" t="s">
        <v>16</v>
      </c>
      <c r="C213" s="15">
        <v>5310</v>
      </c>
      <c r="D213" s="15">
        <v>2159833</v>
      </c>
      <c r="E213" s="15">
        <v>1370</v>
      </c>
      <c r="F213" s="15">
        <v>585330</v>
      </c>
      <c r="G213" s="15">
        <v>0</v>
      </c>
      <c r="H213" s="15">
        <v>3000</v>
      </c>
      <c r="I213" s="15">
        <v>0</v>
      </c>
    </row>
    <row r="214" spans="2:9" x14ac:dyDescent="0.3">
      <c r="B214" s="14" t="s">
        <v>17</v>
      </c>
      <c r="C214" s="15">
        <v>1200</v>
      </c>
      <c r="D214" s="15">
        <v>17120</v>
      </c>
      <c r="E214" s="15">
        <v>30300</v>
      </c>
      <c r="F214" s="15">
        <v>296076</v>
      </c>
      <c r="G214" s="15">
        <v>241396</v>
      </c>
      <c r="H214" s="15">
        <v>0</v>
      </c>
      <c r="I214" s="15">
        <v>25000</v>
      </c>
    </row>
    <row r="215" spans="2:9" x14ac:dyDescent="0.3">
      <c r="B215" s="14" t="s">
        <v>18</v>
      </c>
      <c r="C215" s="15">
        <v>144943</v>
      </c>
      <c r="D215" s="15">
        <v>55705226</v>
      </c>
      <c r="E215" s="15">
        <v>122795</v>
      </c>
      <c r="F215" s="15">
        <v>30636072</v>
      </c>
      <c r="G215" s="15">
        <v>18501043</v>
      </c>
      <c r="H215" s="15">
        <v>40000</v>
      </c>
      <c r="I215" s="15">
        <v>19350</v>
      </c>
    </row>
    <row r="216" spans="2:9" x14ac:dyDescent="0.3">
      <c r="B216" s="14" t="s">
        <v>19</v>
      </c>
      <c r="C216" s="15">
        <v>3915</v>
      </c>
      <c r="D216" s="15">
        <v>1796060</v>
      </c>
      <c r="E216" s="15">
        <v>5145</v>
      </c>
      <c r="F216" s="15">
        <v>1869905</v>
      </c>
      <c r="G216" s="15">
        <v>586145</v>
      </c>
      <c r="H216" s="15">
        <v>1000</v>
      </c>
      <c r="I216" s="15">
        <v>1500</v>
      </c>
    </row>
    <row r="217" spans="2:9" x14ac:dyDescent="0.3">
      <c r="B217" s="14" t="s">
        <v>20</v>
      </c>
      <c r="C217" s="15">
        <v>0</v>
      </c>
      <c r="D217" s="15">
        <v>0</v>
      </c>
      <c r="E217" s="15">
        <v>0</v>
      </c>
      <c r="F217" s="15">
        <v>0</v>
      </c>
      <c r="G217" s="15">
        <v>0</v>
      </c>
      <c r="H217" s="15">
        <v>500000</v>
      </c>
      <c r="I217" s="15">
        <v>26894000</v>
      </c>
    </row>
    <row r="218" spans="2:9" x14ac:dyDescent="0.3">
      <c r="B218" s="14" t="s">
        <v>40</v>
      </c>
      <c r="C218" s="15">
        <v>0</v>
      </c>
      <c r="D218" s="15">
        <v>0</v>
      </c>
      <c r="E218" s="15">
        <v>1000</v>
      </c>
      <c r="F218" s="15">
        <v>30200</v>
      </c>
      <c r="G218" s="15">
        <v>0</v>
      </c>
      <c r="H218" s="15">
        <v>0</v>
      </c>
      <c r="I218" s="15">
        <v>1000</v>
      </c>
    </row>
    <row r="219" spans="2:9" x14ac:dyDescent="0.3">
      <c r="B219" s="14" t="s">
        <v>24</v>
      </c>
      <c r="C219" s="15">
        <v>1300</v>
      </c>
      <c r="D219" s="15">
        <v>110091</v>
      </c>
      <c r="E219" s="15">
        <v>14810</v>
      </c>
      <c r="F219" s="15">
        <v>1250397</v>
      </c>
      <c r="G219" s="15">
        <v>196050</v>
      </c>
      <c r="H219" s="15">
        <v>0</v>
      </c>
      <c r="I219" s="15">
        <v>10000</v>
      </c>
    </row>
    <row r="220" spans="2:9" x14ac:dyDescent="0.3">
      <c r="B220" s="14" t="s">
        <v>25</v>
      </c>
      <c r="C220" s="15">
        <v>26702</v>
      </c>
      <c r="D220" s="15">
        <v>1991401</v>
      </c>
      <c r="E220" s="15">
        <v>39158</v>
      </c>
      <c r="F220" s="15">
        <v>2405561</v>
      </c>
      <c r="G220" s="15">
        <v>945423</v>
      </c>
      <c r="H220" s="15">
        <v>5000</v>
      </c>
      <c r="I220" s="15">
        <v>21000</v>
      </c>
    </row>
    <row r="221" spans="2:9" x14ac:dyDescent="0.3">
      <c r="B221" s="14" t="s">
        <v>26</v>
      </c>
      <c r="C221" s="15">
        <v>270270</v>
      </c>
      <c r="D221" s="15">
        <v>811390</v>
      </c>
      <c r="E221" s="15">
        <v>205160</v>
      </c>
      <c r="F221" s="15">
        <v>732944</v>
      </c>
      <c r="G221" s="15">
        <v>72000</v>
      </c>
      <c r="H221" s="15">
        <v>100000</v>
      </c>
      <c r="I221" s="15">
        <v>50000</v>
      </c>
    </row>
    <row r="222" spans="2:9" x14ac:dyDescent="0.3">
      <c r="B222" s="14" t="s">
        <v>38</v>
      </c>
      <c r="C222" s="15">
        <v>0</v>
      </c>
      <c r="D222" s="15">
        <v>0</v>
      </c>
      <c r="E222" s="15">
        <v>900</v>
      </c>
      <c r="F222" s="15">
        <v>9600</v>
      </c>
      <c r="G222" s="15">
        <v>1182</v>
      </c>
      <c r="H222" s="15">
        <v>0</v>
      </c>
      <c r="I222" s="15">
        <v>0</v>
      </c>
    </row>
    <row r="223" spans="2:9" x14ac:dyDescent="0.3">
      <c r="B223" s="14" t="s">
        <v>27</v>
      </c>
      <c r="C223" s="15">
        <v>2710</v>
      </c>
      <c r="D223" s="15">
        <v>27100</v>
      </c>
      <c r="E223" s="15">
        <v>34900</v>
      </c>
      <c r="F223" s="15">
        <v>296520</v>
      </c>
      <c r="G223" s="15">
        <v>165348</v>
      </c>
      <c r="H223" s="15">
        <v>0</v>
      </c>
      <c r="I223" s="15">
        <v>35000</v>
      </c>
    </row>
    <row r="224" spans="2:9" x14ac:dyDescent="0.3">
      <c r="B224" s="14" t="s">
        <v>28</v>
      </c>
      <c r="C224" s="15">
        <v>14914</v>
      </c>
      <c r="D224" s="15">
        <v>5159399</v>
      </c>
      <c r="E224" s="15">
        <v>14101</v>
      </c>
      <c r="F224" s="15">
        <v>3528990</v>
      </c>
      <c r="G224" s="15">
        <v>1568855</v>
      </c>
      <c r="H224" s="15">
        <v>9000</v>
      </c>
      <c r="I224" s="15">
        <v>7100</v>
      </c>
    </row>
    <row r="225" spans="2:9" ht="15.6" x14ac:dyDescent="0.3">
      <c r="B225" s="16" t="s">
        <v>29</v>
      </c>
      <c r="C225" s="16"/>
      <c r="D225" s="17">
        <f>SUM(D209:D224)</f>
        <v>68040885</v>
      </c>
      <c r="E225" s="18"/>
      <c r="F225" s="17">
        <f>SUM(F209:F224)</f>
        <v>41776040</v>
      </c>
      <c r="G225" s="17">
        <f>SUM(G209:G224)</f>
        <v>22279585</v>
      </c>
      <c r="H225" s="19"/>
      <c r="I225" s="19"/>
    </row>
    <row r="227" spans="2:9" ht="15.6" x14ac:dyDescent="0.3">
      <c r="B227" s="13" t="s">
        <v>46</v>
      </c>
      <c r="C227" s="13"/>
      <c r="D227" s="13"/>
    </row>
    <row r="228" spans="2:9" x14ac:dyDescent="0.3">
      <c r="B228" s="14" t="s">
        <v>12</v>
      </c>
      <c r="C228" s="15">
        <v>2600</v>
      </c>
      <c r="D228" s="15">
        <v>590980</v>
      </c>
      <c r="E228" s="15">
        <v>18800</v>
      </c>
      <c r="F228" s="15">
        <v>4568670</v>
      </c>
      <c r="G228" s="15">
        <v>0</v>
      </c>
      <c r="H228" s="15">
        <v>21000</v>
      </c>
      <c r="I228" s="15">
        <v>37500</v>
      </c>
    </row>
    <row r="229" spans="2:9" x14ac:dyDescent="0.3">
      <c r="B229" s="14" t="s">
        <v>13</v>
      </c>
      <c r="C229" s="15">
        <v>10</v>
      </c>
      <c r="D229" s="15">
        <v>1900</v>
      </c>
      <c r="E229" s="15">
        <v>50</v>
      </c>
      <c r="F229" s="15">
        <v>11115</v>
      </c>
      <c r="G229" s="15">
        <v>0</v>
      </c>
      <c r="H229" s="15">
        <v>0</v>
      </c>
      <c r="I229" s="15">
        <v>0</v>
      </c>
    </row>
    <row r="230" spans="2:9" x14ac:dyDescent="0.3">
      <c r="B230" s="14" t="s">
        <v>14</v>
      </c>
      <c r="C230" s="15">
        <v>205</v>
      </c>
      <c r="D230" s="15">
        <v>39308</v>
      </c>
      <c r="E230" s="15">
        <v>2330</v>
      </c>
      <c r="F230" s="15">
        <v>496965</v>
      </c>
      <c r="G230" s="15">
        <v>0</v>
      </c>
      <c r="H230" s="15">
        <v>0</v>
      </c>
      <c r="I230" s="15">
        <v>0</v>
      </c>
    </row>
    <row r="231" spans="2:9" x14ac:dyDescent="0.3">
      <c r="B231" s="14" t="s">
        <v>15</v>
      </c>
      <c r="C231" s="15">
        <v>6305</v>
      </c>
      <c r="D231" s="15">
        <v>1586315</v>
      </c>
      <c r="E231" s="15">
        <v>0</v>
      </c>
      <c r="F231" s="15">
        <v>0</v>
      </c>
      <c r="G231" s="15">
        <v>0</v>
      </c>
      <c r="H231" s="15">
        <v>6400</v>
      </c>
      <c r="I231" s="15">
        <v>500</v>
      </c>
    </row>
    <row r="232" spans="2:9" x14ac:dyDescent="0.3">
      <c r="B232" s="14" t="s">
        <v>16</v>
      </c>
      <c r="C232" s="15">
        <v>27050</v>
      </c>
      <c r="D232" s="15">
        <v>11205243</v>
      </c>
      <c r="E232" s="15">
        <v>10170</v>
      </c>
      <c r="F232" s="15">
        <v>4271492</v>
      </c>
      <c r="G232" s="15">
        <v>0</v>
      </c>
      <c r="H232" s="15">
        <v>22000</v>
      </c>
      <c r="I232" s="15">
        <v>3000</v>
      </c>
    </row>
    <row r="233" spans="2:9" x14ac:dyDescent="0.3">
      <c r="B233" s="14" t="s">
        <v>32</v>
      </c>
      <c r="C233" s="15">
        <v>100</v>
      </c>
      <c r="D233" s="15">
        <v>4655</v>
      </c>
      <c r="E233" s="15">
        <v>523</v>
      </c>
      <c r="F233" s="15">
        <v>29530</v>
      </c>
      <c r="G233" s="15">
        <v>0</v>
      </c>
      <c r="H233" s="15">
        <v>0</v>
      </c>
      <c r="I233" s="15">
        <v>1000</v>
      </c>
    </row>
    <row r="234" spans="2:9" x14ac:dyDescent="0.3">
      <c r="B234" s="14" t="s">
        <v>17</v>
      </c>
      <c r="C234" s="15">
        <v>4500</v>
      </c>
      <c r="D234" s="15">
        <v>68415</v>
      </c>
      <c r="E234" s="15">
        <v>52700</v>
      </c>
      <c r="F234" s="15">
        <v>883930</v>
      </c>
      <c r="G234" s="15">
        <v>0</v>
      </c>
      <c r="H234" s="15">
        <v>0</v>
      </c>
      <c r="I234" s="15">
        <v>55000</v>
      </c>
    </row>
    <row r="235" spans="2:9" x14ac:dyDescent="0.3">
      <c r="B235" s="14" t="s">
        <v>18</v>
      </c>
      <c r="C235" s="15">
        <v>679917</v>
      </c>
      <c r="D235" s="15">
        <v>266008558</v>
      </c>
      <c r="E235" s="15">
        <v>277723</v>
      </c>
      <c r="F235" s="15">
        <v>109808455</v>
      </c>
      <c r="G235" s="15">
        <v>0</v>
      </c>
      <c r="H235" s="15">
        <v>451000</v>
      </c>
      <c r="I235" s="15">
        <v>47500</v>
      </c>
    </row>
    <row r="236" spans="2:9" x14ac:dyDescent="0.3">
      <c r="B236" s="14" t="s">
        <v>19</v>
      </c>
      <c r="C236" s="15">
        <v>28605</v>
      </c>
      <c r="D236" s="15">
        <v>13294742</v>
      </c>
      <c r="E236" s="15">
        <v>20145</v>
      </c>
      <c r="F236" s="15">
        <v>9487664</v>
      </c>
      <c r="G236" s="15">
        <v>0</v>
      </c>
      <c r="H236" s="15">
        <v>22500</v>
      </c>
      <c r="I236" s="15">
        <v>12000</v>
      </c>
    </row>
    <row r="237" spans="2:9" x14ac:dyDescent="0.3">
      <c r="B237" s="14" t="s">
        <v>20</v>
      </c>
      <c r="C237" s="15">
        <v>0</v>
      </c>
      <c r="D237" s="15">
        <v>0</v>
      </c>
      <c r="E237" s="15">
        <v>0</v>
      </c>
      <c r="F237" s="15">
        <v>0</v>
      </c>
      <c r="G237" s="15">
        <v>0</v>
      </c>
      <c r="H237" s="15">
        <v>15000000</v>
      </c>
      <c r="I237" s="15">
        <v>186765000</v>
      </c>
    </row>
    <row r="238" spans="2:9" x14ac:dyDescent="0.3">
      <c r="B238" s="14" t="s">
        <v>21</v>
      </c>
      <c r="C238" s="15">
        <v>120</v>
      </c>
      <c r="D238" s="15">
        <v>10560</v>
      </c>
      <c r="E238" s="15">
        <v>5000</v>
      </c>
      <c r="F238" s="15">
        <v>527000</v>
      </c>
      <c r="G238" s="15">
        <v>0</v>
      </c>
      <c r="H238" s="15">
        <v>0</v>
      </c>
      <c r="I238" s="15">
        <v>4000</v>
      </c>
    </row>
    <row r="239" spans="2:9" x14ac:dyDescent="0.3">
      <c r="B239" s="14" t="s">
        <v>22</v>
      </c>
      <c r="C239" s="15">
        <v>252000</v>
      </c>
      <c r="D239" s="15">
        <v>592950</v>
      </c>
      <c r="E239" s="15">
        <v>210000</v>
      </c>
      <c r="F239" s="15">
        <v>535040</v>
      </c>
      <c r="G239" s="15">
        <v>0</v>
      </c>
      <c r="H239" s="15">
        <v>0</v>
      </c>
      <c r="I239" s="15">
        <v>0</v>
      </c>
    </row>
    <row r="240" spans="2:9" x14ac:dyDescent="0.3">
      <c r="B240" s="14" t="s">
        <v>24</v>
      </c>
      <c r="C240" s="15">
        <v>1940</v>
      </c>
      <c r="D240" s="15">
        <v>178555</v>
      </c>
      <c r="E240" s="15">
        <v>8150</v>
      </c>
      <c r="F240" s="15">
        <v>778585</v>
      </c>
      <c r="G240" s="15">
        <v>0</v>
      </c>
      <c r="H240" s="15">
        <v>0</v>
      </c>
      <c r="I240" s="15">
        <v>2000</v>
      </c>
    </row>
    <row r="241" spans="2:9" x14ac:dyDescent="0.3">
      <c r="B241" s="14" t="s">
        <v>25</v>
      </c>
      <c r="C241" s="15">
        <v>34547</v>
      </c>
      <c r="D241" s="15">
        <v>2665243</v>
      </c>
      <c r="E241" s="15">
        <v>50321</v>
      </c>
      <c r="F241" s="15">
        <v>4065200</v>
      </c>
      <c r="G241" s="15">
        <v>0</v>
      </c>
      <c r="H241" s="15">
        <v>25000</v>
      </c>
      <c r="I241" s="15">
        <v>31000</v>
      </c>
    </row>
    <row r="242" spans="2:9" x14ac:dyDescent="0.3">
      <c r="B242" s="14" t="s">
        <v>26</v>
      </c>
      <c r="C242" s="15">
        <v>348260</v>
      </c>
      <c r="D242" s="15">
        <v>1049988</v>
      </c>
      <c r="E242" s="15">
        <v>159940</v>
      </c>
      <c r="F242" s="15">
        <v>623185</v>
      </c>
      <c r="G242" s="15">
        <v>0</v>
      </c>
      <c r="H242" s="15">
        <v>100000</v>
      </c>
      <c r="I242" s="15">
        <v>0</v>
      </c>
    </row>
    <row r="243" spans="2:9" x14ac:dyDescent="0.3">
      <c r="B243" s="14" t="s">
        <v>38</v>
      </c>
      <c r="C243" s="15">
        <v>0</v>
      </c>
      <c r="D243" s="15">
        <v>0</v>
      </c>
      <c r="E243" s="15">
        <v>22570</v>
      </c>
      <c r="F243" s="15">
        <v>313865</v>
      </c>
      <c r="G243" s="15">
        <v>0</v>
      </c>
      <c r="H243" s="15">
        <v>0</v>
      </c>
      <c r="I243" s="15">
        <v>23600</v>
      </c>
    </row>
    <row r="244" spans="2:9" x14ac:dyDescent="0.3">
      <c r="B244" s="14" t="s">
        <v>27</v>
      </c>
      <c r="C244" s="15">
        <v>7090</v>
      </c>
      <c r="D244" s="15">
        <v>70855</v>
      </c>
      <c r="E244" s="15">
        <v>66980</v>
      </c>
      <c r="F244" s="15">
        <v>858649</v>
      </c>
      <c r="G244" s="15">
        <v>0</v>
      </c>
      <c r="H244" s="15">
        <v>0</v>
      </c>
      <c r="I244" s="15">
        <v>70000</v>
      </c>
    </row>
    <row r="245" spans="2:9" x14ac:dyDescent="0.3">
      <c r="B245" s="14" t="s">
        <v>28</v>
      </c>
      <c r="C245" s="15">
        <v>90099</v>
      </c>
      <c r="D245" s="15">
        <v>31670663</v>
      </c>
      <c r="E245" s="15">
        <v>70860</v>
      </c>
      <c r="F245" s="15">
        <v>25249480</v>
      </c>
      <c r="G245" s="15">
        <v>0</v>
      </c>
      <c r="H245" s="15">
        <v>51000</v>
      </c>
      <c r="I245" s="15">
        <v>29800</v>
      </c>
    </row>
    <row r="246" spans="2:9" ht="15.6" x14ac:dyDescent="0.3">
      <c r="B246" s="16" t="s">
        <v>29</v>
      </c>
      <c r="C246" s="16"/>
      <c r="D246" s="17">
        <f>SUM(D228:D245)</f>
        <v>329038930</v>
      </c>
      <c r="E246" s="18"/>
      <c r="F246" s="17">
        <f>SUM(F228:F245)</f>
        <v>162508825</v>
      </c>
      <c r="G246" s="17">
        <f>SUM(G228:G245)</f>
        <v>0</v>
      </c>
      <c r="H246" s="19"/>
      <c r="I246" s="19"/>
    </row>
    <row r="248" spans="2:9" ht="15.6" x14ac:dyDescent="0.3">
      <c r="B248" s="13" t="s">
        <v>47</v>
      </c>
      <c r="C248" s="13"/>
      <c r="D248" s="13"/>
    </row>
    <row r="249" spans="2:9" x14ac:dyDescent="0.3">
      <c r="B249" s="14" t="s">
        <v>12</v>
      </c>
      <c r="C249" s="15">
        <v>200</v>
      </c>
      <c r="D249" s="15">
        <v>45440</v>
      </c>
      <c r="E249" s="15">
        <v>0</v>
      </c>
      <c r="F249" s="15">
        <v>0</v>
      </c>
      <c r="G249" s="15">
        <v>0</v>
      </c>
      <c r="H249" s="15">
        <v>500</v>
      </c>
      <c r="I249" s="15">
        <v>0</v>
      </c>
    </row>
    <row r="250" spans="2:9" x14ac:dyDescent="0.3">
      <c r="B250" s="14" t="s">
        <v>14</v>
      </c>
      <c r="C250" s="15">
        <v>50</v>
      </c>
      <c r="D250" s="15">
        <v>9545</v>
      </c>
      <c r="E250" s="15">
        <v>1345</v>
      </c>
      <c r="F250" s="15">
        <v>287385</v>
      </c>
      <c r="G250" s="15">
        <v>0</v>
      </c>
      <c r="H250" s="15">
        <v>0</v>
      </c>
      <c r="I250" s="15">
        <v>0</v>
      </c>
    </row>
    <row r="251" spans="2:9" x14ac:dyDescent="0.3">
      <c r="B251" s="14" t="s">
        <v>15</v>
      </c>
      <c r="C251" s="15">
        <v>980</v>
      </c>
      <c r="D251" s="15">
        <v>247600</v>
      </c>
      <c r="E251" s="15">
        <v>690</v>
      </c>
      <c r="F251" s="15">
        <v>184365</v>
      </c>
      <c r="G251" s="15">
        <v>0</v>
      </c>
      <c r="H251" s="15">
        <v>300</v>
      </c>
      <c r="I251" s="15">
        <v>200</v>
      </c>
    </row>
    <row r="252" spans="2:9" x14ac:dyDescent="0.3">
      <c r="B252" s="14" t="s">
        <v>16</v>
      </c>
      <c r="C252" s="15">
        <v>14310</v>
      </c>
      <c r="D252" s="15">
        <v>5911575</v>
      </c>
      <c r="E252" s="15">
        <v>3510</v>
      </c>
      <c r="F252" s="15">
        <v>1488451</v>
      </c>
      <c r="G252" s="15">
        <v>0</v>
      </c>
      <c r="H252" s="15">
        <v>10500</v>
      </c>
      <c r="I252" s="15">
        <v>0</v>
      </c>
    </row>
    <row r="253" spans="2:9" x14ac:dyDescent="0.3">
      <c r="B253" s="14" t="s">
        <v>32</v>
      </c>
      <c r="C253" s="15">
        <v>0</v>
      </c>
      <c r="D253" s="15">
        <v>0</v>
      </c>
      <c r="E253" s="15">
        <v>0</v>
      </c>
      <c r="F253" s="15">
        <v>0</v>
      </c>
      <c r="G253" s="15">
        <v>0</v>
      </c>
      <c r="H253" s="15">
        <v>0</v>
      </c>
      <c r="I253" s="15">
        <v>500</v>
      </c>
    </row>
    <row r="254" spans="2:9" x14ac:dyDescent="0.3">
      <c r="B254" s="14" t="s">
        <v>17</v>
      </c>
      <c r="C254" s="15">
        <v>2600</v>
      </c>
      <c r="D254" s="15">
        <v>39520</v>
      </c>
      <c r="E254" s="15">
        <v>83600</v>
      </c>
      <c r="F254" s="15">
        <v>1402879</v>
      </c>
      <c r="G254" s="15">
        <v>0</v>
      </c>
      <c r="H254" s="15">
        <v>0</v>
      </c>
      <c r="I254" s="15">
        <v>75000</v>
      </c>
    </row>
    <row r="255" spans="2:9" x14ac:dyDescent="0.3">
      <c r="B255" s="14" t="s">
        <v>18</v>
      </c>
      <c r="C255" s="15">
        <v>225068</v>
      </c>
      <c r="D255" s="15">
        <v>87791699</v>
      </c>
      <c r="E255" s="15">
        <v>201899</v>
      </c>
      <c r="F255" s="15">
        <v>79811705</v>
      </c>
      <c r="G255" s="15">
        <v>0</v>
      </c>
      <c r="H255" s="15">
        <v>47000</v>
      </c>
      <c r="I255" s="15">
        <v>27300</v>
      </c>
    </row>
    <row r="256" spans="2:9" x14ac:dyDescent="0.3">
      <c r="B256" s="14" t="s">
        <v>19</v>
      </c>
      <c r="C256" s="15">
        <v>26585</v>
      </c>
      <c r="D256" s="15">
        <v>12303530</v>
      </c>
      <c r="E256" s="15">
        <v>14330</v>
      </c>
      <c r="F256" s="15">
        <v>6735580</v>
      </c>
      <c r="G256" s="15">
        <v>0</v>
      </c>
      <c r="H256" s="15">
        <v>16000</v>
      </c>
      <c r="I256" s="15">
        <v>0</v>
      </c>
    </row>
    <row r="257" spans="2:9" x14ac:dyDescent="0.3">
      <c r="B257" s="14" t="s">
        <v>20</v>
      </c>
      <c r="C257" s="15">
        <v>0</v>
      </c>
      <c r="D257" s="15">
        <v>0</v>
      </c>
      <c r="E257" s="15">
        <v>0</v>
      </c>
      <c r="F257" s="15">
        <v>0</v>
      </c>
      <c r="G257" s="15">
        <v>0</v>
      </c>
      <c r="H257" s="15">
        <v>23000000</v>
      </c>
      <c r="I257" s="15">
        <v>25729000</v>
      </c>
    </row>
    <row r="258" spans="2:9" x14ac:dyDescent="0.3">
      <c r="B258" s="14" t="s">
        <v>21</v>
      </c>
      <c r="C258" s="15">
        <v>800</v>
      </c>
      <c r="D258" s="15">
        <v>70460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</row>
    <row r="259" spans="2:9" x14ac:dyDescent="0.3">
      <c r="B259" s="14" t="s">
        <v>24</v>
      </c>
      <c r="C259" s="15">
        <v>370</v>
      </c>
      <c r="D259" s="15">
        <v>33657</v>
      </c>
      <c r="E259" s="15">
        <v>1570</v>
      </c>
      <c r="F259" s="15">
        <v>150130</v>
      </c>
      <c r="G259" s="15">
        <v>0</v>
      </c>
      <c r="H259" s="15">
        <v>0</v>
      </c>
      <c r="I259" s="15">
        <v>1000</v>
      </c>
    </row>
    <row r="260" spans="2:9" x14ac:dyDescent="0.3">
      <c r="B260" s="14" t="s">
        <v>25</v>
      </c>
      <c r="C260" s="15">
        <v>9148</v>
      </c>
      <c r="D260" s="15">
        <v>703965</v>
      </c>
      <c r="E260" s="15">
        <v>32554</v>
      </c>
      <c r="F260" s="15">
        <v>2633064</v>
      </c>
      <c r="G260" s="15">
        <v>0</v>
      </c>
      <c r="H260" s="15">
        <v>5000</v>
      </c>
      <c r="I260" s="15">
        <v>19000</v>
      </c>
    </row>
    <row r="261" spans="2:9" x14ac:dyDescent="0.3">
      <c r="B261" s="14" t="s">
        <v>26</v>
      </c>
      <c r="C261" s="15">
        <v>194570</v>
      </c>
      <c r="D261" s="15">
        <v>585357</v>
      </c>
      <c r="E261" s="15">
        <v>109640</v>
      </c>
      <c r="F261" s="15">
        <v>427210</v>
      </c>
      <c r="G261" s="15">
        <v>0</v>
      </c>
      <c r="H261" s="15">
        <v>100000</v>
      </c>
      <c r="I261" s="15">
        <v>0</v>
      </c>
    </row>
    <row r="262" spans="2:9" x14ac:dyDescent="0.3">
      <c r="B262" s="14" t="s">
        <v>38</v>
      </c>
      <c r="C262" s="15">
        <v>0</v>
      </c>
      <c r="D262" s="15">
        <v>0</v>
      </c>
      <c r="E262" s="15">
        <v>4000</v>
      </c>
      <c r="F262" s="15">
        <v>47120</v>
      </c>
      <c r="G262" s="15">
        <v>0</v>
      </c>
      <c r="H262" s="15">
        <v>0</v>
      </c>
      <c r="I262" s="15">
        <v>0</v>
      </c>
    </row>
    <row r="263" spans="2:9" x14ac:dyDescent="0.3">
      <c r="B263" s="14" t="s">
        <v>27</v>
      </c>
      <c r="C263" s="15">
        <v>400</v>
      </c>
      <c r="D263" s="15">
        <v>3920</v>
      </c>
      <c r="E263" s="15">
        <v>50095</v>
      </c>
      <c r="F263" s="15">
        <v>632528</v>
      </c>
      <c r="G263" s="15">
        <v>0</v>
      </c>
      <c r="H263" s="15">
        <v>0</v>
      </c>
      <c r="I263" s="15">
        <v>45000</v>
      </c>
    </row>
    <row r="264" spans="2:9" x14ac:dyDescent="0.3">
      <c r="B264" s="14" t="s">
        <v>28</v>
      </c>
      <c r="C264" s="15">
        <v>22303</v>
      </c>
      <c r="D264" s="15">
        <v>7819452</v>
      </c>
      <c r="E264" s="15">
        <v>45973</v>
      </c>
      <c r="F264" s="15">
        <v>16426033</v>
      </c>
      <c r="G264" s="15">
        <v>0</v>
      </c>
      <c r="H264" s="15">
        <v>7000</v>
      </c>
      <c r="I264" s="15">
        <v>27500</v>
      </c>
    </row>
    <row r="265" spans="2:9" ht="15.6" x14ac:dyDescent="0.3">
      <c r="B265" s="16" t="s">
        <v>29</v>
      </c>
      <c r="C265" s="16"/>
      <c r="D265" s="17">
        <f>SUM(D249:D264)</f>
        <v>115565720</v>
      </c>
      <c r="E265" s="18"/>
      <c r="F265" s="17">
        <f>SUM(F249:F264)</f>
        <v>110226450</v>
      </c>
      <c r="G265" s="17">
        <f>SUM(G249:G264)</f>
        <v>0</v>
      </c>
      <c r="H265" s="19"/>
      <c r="I265" s="19"/>
    </row>
    <row r="267" spans="2:9" ht="15.6" x14ac:dyDescent="0.3">
      <c r="B267" s="13" t="s">
        <v>48</v>
      </c>
      <c r="C267" s="13"/>
      <c r="D267" s="13"/>
    </row>
    <row r="268" spans="2:9" x14ac:dyDescent="0.3">
      <c r="B268" s="14" t="s">
        <v>12</v>
      </c>
      <c r="C268" s="15">
        <v>0</v>
      </c>
      <c r="D268" s="15">
        <v>0</v>
      </c>
      <c r="E268" s="15">
        <v>50</v>
      </c>
      <c r="F268" s="15">
        <v>12315</v>
      </c>
      <c r="G268" s="15">
        <v>0</v>
      </c>
      <c r="H268" s="15">
        <v>0</v>
      </c>
      <c r="I268" s="15">
        <v>200</v>
      </c>
    </row>
    <row r="269" spans="2:9" x14ac:dyDescent="0.3">
      <c r="B269" s="14" t="s">
        <v>13</v>
      </c>
      <c r="C269" s="15">
        <v>20</v>
      </c>
      <c r="D269" s="15">
        <v>3800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</row>
    <row r="270" spans="2:9" x14ac:dyDescent="0.3">
      <c r="B270" s="14" t="s">
        <v>14</v>
      </c>
      <c r="C270" s="15">
        <v>30</v>
      </c>
      <c r="D270" s="15">
        <v>5715</v>
      </c>
      <c r="E270" s="15">
        <v>350</v>
      </c>
      <c r="F270" s="15">
        <v>18230</v>
      </c>
      <c r="G270" s="15">
        <v>56745</v>
      </c>
      <c r="H270" s="15">
        <v>0</v>
      </c>
      <c r="I270" s="15">
        <v>0</v>
      </c>
    </row>
    <row r="271" spans="2:9" x14ac:dyDescent="0.3">
      <c r="B271" s="14" t="s">
        <v>15</v>
      </c>
      <c r="C271" s="15">
        <v>260</v>
      </c>
      <c r="D271" s="15">
        <v>64440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</row>
    <row r="272" spans="2:9" x14ac:dyDescent="0.3">
      <c r="B272" s="14" t="s">
        <v>16</v>
      </c>
      <c r="C272" s="15">
        <v>9450</v>
      </c>
      <c r="D272" s="15">
        <v>3849585</v>
      </c>
      <c r="E272" s="15">
        <v>20</v>
      </c>
      <c r="F272" s="15">
        <v>8560</v>
      </c>
      <c r="G272" s="15">
        <v>0</v>
      </c>
      <c r="H272" s="15">
        <v>9000</v>
      </c>
      <c r="I272" s="15">
        <v>0</v>
      </c>
    </row>
    <row r="273" spans="2:9" x14ac:dyDescent="0.3">
      <c r="B273" s="14" t="s">
        <v>32</v>
      </c>
      <c r="C273" s="15">
        <v>80</v>
      </c>
      <c r="D273" s="15">
        <v>3685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</row>
    <row r="274" spans="2:9" x14ac:dyDescent="0.3">
      <c r="B274" s="14" t="s">
        <v>17</v>
      </c>
      <c r="C274" s="15">
        <v>600</v>
      </c>
      <c r="D274" s="15">
        <v>8520</v>
      </c>
      <c r="E274" s="15">
        <v>10900</v>
      </c>
      <c r="F274" s="15">
        <v>197565</v>
      </c>
      <c r="G274" s="15">
        <v>0</v>
      </c>
      <c r="H274" s="15">
        <v>0</v>
      </c>
      <c r="I274" s="15">
        <v>10000</v>
      </c>
    </row>
    <row r="275" spans="2:9" x14ac:dyDescent="0.3">
      <c r="B275" s="14" t="s">
        <v>18</v>
      </c>
      <c r="C275" s="15">
        <v>70277</v>
      </c>
      <c r="D275" s="15">
        <v>27089478</v>
      </c>
      <c r="E275" s="15">
        <v>67001</v>
      </c>
      <c r="F275" s="15">
        <v>17730988</v>
      </c>
      <c r="G275" s="15">
        <v>9134998</v>
      </c>
      <c r="H275" s="15">
        <v>27500</v>
      </c>
      <c r="I275" s="15">
        <v>24500</v>
      </c>
    </row>
    <row r="276" spans="2:9" x14ac:dyDescent="0.3">
      <c r="B276" s="14" t="s">
        <v>19</v>
      </c>
      <c r="C276" s="15">
        <v>6370</v>
      </c>
      <c r="D276" s="15">
        <v>2912887</v>
      </c>
      <c r="E276" s="15">
        <v>1890</v>
      </c>
      <c r="F276" s="15">
        <v>578920</v>
      </c>
      <c r="G276" s="15">
        <v>326470</v>
      </c>
      <c r="H276" s="15">
        <v>4000</v>
      </c>
      <c r="I276" s="15">
        <v>0</v>
      </c>
    </row>
    <row r="277" spans="2:9" x14ac:dyDescent="0.3">
      <c r="B277" s="14" t="s">
        <v>20</v>
      </c>
      <c r="C277" s="15">
        <v>0</v>
      </c>
      <c r="D277" s="15">
        <v>0</v>
      </c>
      <c r="E277" s="15">
        <v>0</v>
      </c>
      <c r="F277" s="15">
        <v>0</v>
      </c>
      <c r="G277" s="15">
        <v>0</v>
      </c>
      <c r="H277" s="15">
        <v>10000000</v>
      </c>
      <c r="I277" s="15">
        <v>22079000</v>
      </c>
    </row>
    <row r="278" spans="2:9" x14ac:dyDescent="0.3">
      <c r="B278" s="14" t="s">
        <v>24</v>
      </c>
      <c r="C278" s="15">
        <v>230</v>
      </c>
      <c r="D278" s="15">
        <v>19480</v>
      </c>
      <c r="E278" s="15">
        <v>500</v>
      </c>
      <c r="F278" s="15">
        <v>48760</v>
      </c>
      <c r="G278" s="15">
        <v>0</v>
      </c>
      <c r="H278" s="15">
        <v>0</v>
      </c>
      <c r="I278" s="15">
        <v>0</v>
      </c>
    </row>
    <row r="279" spans="2:9" x14ac:dyDescent="0.3">
      <c r="B279" s="14" t="s">
        <v>25</v>
      </c>
      <c r="C279" s="15">
        <v>3179</v>
      </c>
      <c r="D279" s="15">
        <v>235025</v>
      </c>
      <c r="E279" s="15">
        <v>34673</v>
      </c>
      <c r="F279" s="15">
        <v>2504344</v>
      </c>
      <c r="G279" s="15">
        <v>460915</v>
      </c>
      <c r="H279" s="15">
        <v>0</v>
      </c>
      <c r="I279" s="15">
        <v>27000</v>
      </c>
    </row>
    <row r="280" spans="2:9" x14ac:dyDescent="0.3">
      <c r="B280" s="14" t="s">
        <v>26</v>
      </c>
      <c r="C280" s="15">
        <v>28920</v>
      </c>
      <c r="D280" s="15">
        <v>92830</v>
      </c>
      <c r="E280" s="15">
        <v>97500</v>
      </c>
      <c r="F280" s="15">
        <v>353830</v>
      </c>
      <c r="G280" s="15">
        <v>34000</v>
      </c>
      <c r="H280" s="15">
        <v>0</v>
      </c>
      <c r="I280" s="15">
        <v>50000</v>
      </c>
    </row>
    <row r="281" spans="2:9" x14ac:dyDescent="0.3">
      <c r="B281" s="14" t="s">
        <v>27</v>
      </c>
      <c r="C281" s="15">
        <v>100</v>
      </c>
      <c r="D281" s="15">
        <v>980</v>
      </c>
      <c r="E281" s="15">
        <v>22750</v>
      </c>
      <c r="F281" s="15">
        <v>271551</v>
      </c>
      <c r="G281" s="15">
        <v>42897</v>
      </c>
      <c r="H281" s="15">
        <v>0</v>
      </c>
      <c r="I281" s="15">
        <v>25000</v>
      </c>
    </row>
    <row r="282" spans="2:9" x14ac:dyDescent="0.3">
      <c r="B282" s="14" t="s">
        <v>28</v>
      </c>
      <c r="C282" s="15">
        <v>5643</v>
      </c>
      <c r="D282" s="15">
        <v>1959950</v>
      </c>
      <c r="E282" s="15">
        <v>13815</v>
      </c>
      <c r="F282" s="15">
        <v>3518772</v>
      </c>
      <c r="G282" s="15">
        <v>1465310</v>
      </c>
      <c r="H282" s="15">
        <v>2500</v>
      </c>
      <c r="I282" s="15">
        <v>10000</v>
      </c>
    </row>
    <row r="283" spans="2:9" ht="15.6" x14ac:dyDescent="0.3">
      <c r="B283" s="16" t="s">
        <v>29</v>
      </c>
      <c r="C283" s="16"/>
      <c r="D283" s="17">
        <f>SUM(D268:D282)</f>
        <v>36246375</v>
      </c>
      <c r="E283" s="18"/>
      <c r="F283" s="17">
        <f>SUM(F268:F282)</f>
        <v>25243835</v>
      </c>
      <c r="G283" s="17">
        <f>SUM(G268:G282)</f>
        <v>11521335</v>
      </c>
      <c r="H283" s="19"/>
      <c r="I283" s="19"/>
    </row>
    <row r="285" spans="2:9" ht="15.6" x14ac:dyDescent="0.3">
      <c r="B285" s="13" t="s">
        <v>49</v>
      </c>
      <c r="C285" s="13"/>
      <c r="D285" s="13"/>
    </row>
    <row r="286" spans="2:9" x14ac:dyDescent="0.3">
      <c r="B286" s="14" t="s">
        <v>12</v>
      </c>
      <c r="C286" s="15">
        <v>410</v>
      </c>
      <c r="D286" s="15">
        <v>95733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</row>
    <row r="287" spans="2:9" x14ac:dyDescent="0.3">
      <c r="B287" s="14" t="s">
        <v>13</v>
      </c>
      <c r="C287" s="15">
        <v>410</v>
      </c>
      <c r="D287" s="15">
        <v>77980</v>
      </c>
      <c r="E287" s="15">
        <v>100</v>
      </c>
      <c r="F287" s="15">
        <v>22040</v>
      </c>
      <c r="G287" s="15">
        <v>0</v>
      </c>
      <c r="H287" s="15">
        <v>0</v>
      </c>
      <c r="I287" s="15">
        <v>0</v>
      </c>
    </row>
    <row r="288" spans="2:9" x14ac:dyDescent="0.3">
      <c r="B288" s="14" t="s">
        <v>14</v>
      </c>
      <c r="C288" s="15">
        <v>265</v>
      </c>
      <c r="D288" s="15">
        <v>50555</v>
      </c>
      <c r="E288" s="15">
        <v>1160</v>
      </c>
      <c r="F288" s="15">
        <v>204715</v>
      </c>
      <c r="G288" s="15">
        <v>42811</v>
      </c>
      <c r="H288" s="15">
        <v>0</v>
      </c>
      <c r="I288" s="15">
        <v>500</v>
      </c>
    </row>
    <row r="289" spans="2:9" x14ac:dyDescent="0.3">
      <c r="B289" s="14" t="s">
        <v>15</v>
      </c>
      <c r="C289" s="15">
        <v>2700</v>
      </c>
      <c r="D289" s="15">
        <v>672990</v>
      </c>
      <c r="E289" s="15">
        <v>1100</v>
      </c>
      <c r="F289" s="15">
        <v>108855</v>
      </c>
      <c r="G289" s="15">
        <v>189105</v>
      </c>
      <c r="H289" s="15">
        <v>2500</v>
      </c>
      <c r="I289" s="15">
        <v>500</v>
      </c>
    </row>
    <row r="290" spans="2:9" x14ac:dyDescent="0.3">
      <c r="B290" s="14" t="s">
        <v>16</v>
      </c>
      <c r="C290" s="15">
        <v>5600</v>
      </c>
      <c r="D290" s="15">
        <v>2284720</v>
      </c>
      <c r="E290" s="15">
        <v>830</v>
      </c>
      <c r="F290" s="15">
        <v>354970</v>
      </c>
      <c r="G290" s="15">
        <v>0</v>
      </c>
      <c r="H290" s="15">
        <v>5500</v>
      </c>
      <c r="I290" s="15">
        <v>1000</v>
      </c>
    </row>
    <row r="291" spans="2:9" x14ac:dyDescent="0.3">
      <c r="B291" s="14" t="s">
        <v>32</v>
      </c>
      <c r="C291" s="15">
        <v>200</v>
      </c>
      <c r="D291" s="15">
        <v>9210</v>
      </c>
      <c r="E291" s="15">
        <v>900</v>
      </c>
      <c r="F291" s="15">
        <v>42110</v>
      </c>
      <c r="G291" s="15">
        <v>12030</v>
      </c>
      <c r="H291" s="15">
        <v>1000</v>
      </c>
      <c r="I291" s="15">
        <v>0</v>
      </c>
    </row>
    <row r="292" spans="2:9" x14ac:dyDescent="0.3">
      <c r="B292" s="14" t="s">
        <v>17</v>
      </c>
      <c r="C292" s="15">
        <v>5800</v>
      </c>
      <c r="D292" s="15">
        <v>81909</v>
      </c>
      <c r="E292" s="15">
        <v>136900</v>
      </c>
      <c r="F292" s="15">
        <v>2102438</v>
      </c>
      <c r="G292" s="15">
        <v>308521</v>
      </c>
      <c r="H292" s="15">
        <v>0</v>
      </c>
      <c r="I292" s="15">
        <v>135000</v>
      </c>
    </row>
    <row r="293" spans="2:9" x14ac:dyDescent="0.3">
      <c r="B293" s="14" t="s">
        <v>18</v>
      </c>
      <c r="C293" s="15">
        <v>327027</v>
      </c>
      <c r="D293" s="15">
        <v>125605877</v>
      </c>
      <c r="E293" s="15">
        <v>150973</v>
      </c>
      <c r="F293" s="15">
        <v>36057933</v>
      </c>
      <c r="G293" s="15">
        <v>24164040</v>
      </c>
      <c r="H293" s="15">
        <v>193000</v>
      </c>
      <c r="I293" s="15">
        <v>16100</v>
      </c>
    </row>
    <row r="294" spans="2:9" x14ac:dyDescent="0.3">
      <c r="B294" s="14" t="s">
        <v>19</v>
      </c>
      <c r="C294" s="15">
        <v>6685</v>
      </c>
      <c r="D294" s="15">
        <v>3044117</v>
      </c>
      <c r="E294" s="15">
        <v>4405</v>
      </c>
      <c r="F294" s="15">
        <v>1626210</v>
      </c>
      <c r="G294" s="15">
        <v>461069</v>
      </c>
      <c r="H294" s="15">
        <v>3000</v>
      </c>
      <c r="I294" s="15">
        <v>1500</v>
      </c>
    </row>
    <row r="295" spans="2:9" x14ac:dyDescent="0.3">
      <c r="B295" s="14" t="s">
        <v>20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  <c r="H295" s="15">
        <v>1000000</v>
      </c>
      <c r="I295" s="15">
        <v>103427500</v>
      </c>
    </row>
    <row r="296" spans="2:9" x14ac:dyDescent="0.3">
      <c r="B296" s="14" t="s">
        <v>21</v>
      </c>
      <c r="C296" s="15">
        <v>1700</v>
      </c>
      <c r="D296" s="15">
        <v>149806</v>
      </c>
      <c r="E296" s="15">
        <v>50</v>
      </c>
      <c r="F296" s="15">
        <v>5280</v>
      </c>
      <c r="G296" s="15">
        <v>0</v>
      </c>
      <c r="H296" s="15">
        <v>0</v>
      </c>
      <c r="I296" s="15">
        <v>0</v>
      </c>
    </row>
    <row r="297" spans="2:9" x14ac:dyDescent="0.3">
      <c r="B297" s="14" t="s">
        <v>40</v>
      </c>
      <c r="C297" s="15">
        <v>120</v>
      </c>
      <c r="D297" s="15">
        <v>1975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</row>
    <row r="298" spans="2:9" x14ac:dyDescent="0.3">
      <c r="B298" s="14" t="s">
        <v>24</v>
      </c>
      <c r="C298" s="15">
        <v>23430</v>
      </c>
      <c r="D298" s="15">
        <v>2070485</v>
      </c>
      <c r="E298" s="15">
        <v>15660</v>
      </c>
      <c r="F298" s="15">
        <v>1287910</v>
      </c>
      <c r="G298" s="15">
        <v>239290</v>
      </c>
      <c r="H298" s="15">
        <v>20000</v>
      </c>
      <c r="I298" s="15">
        <v>12000</v>
      </c>
    </row>
    <row r="299" spans="2:9" x14ac:dyDescent="0.3">
      <c r="B299" s="14" t="s">
        <v>25</v>
      </c>
      <c r="C299" s="15">
        <v>28965</v>
      </c>
      <c r="D299" s="15">
        <v>2134571</v>
      </c>
      <c r="E299" s="15">
        <v>19245</v>
      </c>
      <c r="F299" s="15">
        <v>1246775</v>
      </c>
      <c r="G299" s="15">
        <v>398785</v>
      </c>
      <c r="H299" s="15">
        <v>18000</v>
      </c>
      <c r="I299" s="15">
        <v>5000</v>
      </c>
    </row>
    <row r="300" spans="2:9" x14ac:dyDescent="0.3">
      <c r="B300" s="14" t="s">
        <v>26</v>
      </c>
      <c r="C300" s="15">
        <v>669040</v>
      </c>
      <c r="D300" s="15">
        <v>2012046</v>
      </c>
      <c r="E300" s="15">
        <v>156000</v>
      </c>
      <c r="F300" s="15">
        <v>294230</v>
      </c>
      <c r="G300" s="15">
        <v>321159</v>
      </c>
      <c r="H300" s="15">
        <v>450000</v>
      </c>
      <c r="I300" s="15">
        <v>0</v>
      </c>
    </row>
    <row r="301" spans="2:9" x14ac:dyDescent="0.3">
      <c r="B301" s="14" t="s">
        <v>27</v>
      </c>
      <c r="C301" s="15">
        <v>31880</v>
      </c>
      <c r="D301" s="15">
        <v>315890</v>
      </c>
      <c r="E301" s="15">
        <v>41040</v>
      </c>
      <c r="F301" s="15">
        <v>409725</v>
      </c>
      <c r="G301" s="15">
        <v>208235</v>
      </c>
      <c r="H301" s="15">
        <v>0</v>
      </c>
      <c r="I301" s="15">
        <v>15000</v>
      </c>
    </row>
    <row r="302" spans="2:9" x14ac:dyDescent="0.3">
      <c r="B302" s="14" t="s">
        <v>28</v>
      </c>
      <c r="C302" s="15">
        <v>35741</v>
      </c>
      <c r="D302" s="15">
        <v>12347176</v>
      </c>
      <c r="E302" s="15">
        <v>19235</v>
      </c>
      <c r="F302" s="15">
        <v>5277579</v>
      </c>
      <c r="G302" s="15">
        <v>1685480</v>
      </c>
      <c r="H302" s="15">
        <v>26000</v>
      </c>
      <c r="I302" s="15">
        <v>5950</v>
      </c>
    </row>
    <row r="303" spans="2:9" ht="15.6" x14ac:dyDescent="0.3">
      <c r="B303" s="16" t="s">
        <v>29</v>
      </c>
      <c r="C303" s="16"/>
      <c r="D303" s="17">
        <f>SUM(D286:D302)</f>
        <v>150955040</v>
      </c>
      <c r="E303" s="18"/>
      <c r="F303" s="17">
        <f>SUM(F286:F302)</f>
        <v>49040770</v>
      </c>
      <c r="G303" s="17">
        <f>SUM(G286:G302)</f>
        <v>28030525</v>
      </c>
      <c r="H303" s="19"/>
      <c r="I303" s="19"/>
    </row>
    <row r="305" spans="2:9" ht="17.399999999999999" x14ac:dyDescent="0.3">
      <c r="B305" s="20" t="s">
        <v>50</v>
      </c>
      <c r="C305" s="20"/>
      <c r="D305" s="20"/>
      <c r="E305" s="20"/>
      <c r="F305" s="20"/>
      <c r="G305" s="20"/>
      <c r="H305" s="20"/>
      <c r="I305" s="20"/>
    </row>
    <row r="306" spans="2:9" ht="15.6" x14ac:dyDescent="0.3">
      <c r="B306" s="13" t="s">
        <v>51</v>
      </c>
      <c r="C306" s="13"/>
      <c r="D306" s="13"/>
    </row>
    <row r="307" spans="2:9" x14ac:dyDescent="0.3">
      <c r="B307" s="14" t="s">
        <v>12</v>
      </c>
      <c r="C307" s="15">
        <v>0</v>
      </c>
      <c r="D307" s="15">
        <v>0</v>
      </c>
      <c r="E307" s="15">
        <v>0</v>
      </c>
      <c r="F307" s="15">
        <v>0</v>
      </c>
      <c r="G307" s="15">
        <v>0</v>
      </c>
      <c r="H307" s="15">
        <v>11450</v>
      </c>
      <c r="I307" s="15">
        <v>4050</v>
      </c>
    </row>
    <row r="308" spans="2:9" x14ac:dyDescent="0.3">
      <c r="B308" s="14" t="s">
        <v>14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14000</v>
      </c>
      <c r="I308" s="15">
        <v>2000</v>
      </c>
    </row>
    <row r="309" spans="2:9" x14ac:dyDescent="0.3">
      <c r="B309" s="14" t="s">
        <v>52</v>
      </c>
      <c r="C309" s="15">
        <v>0</v>
      </c>
      <c r="D309" s="15">
        <v>0</v>
      </c>
      <c r="E309" s="15">
        <v>0</v>
      </c>
      <c r="F309" s="15">
        <v>0</v>
      </c>
      <c r="G309" s="15">
        <v>0</v>
      </c>
      <c r="H309" s="15">
        <v>400</v>
      </c>
      <c r="I309" s="15">
        <v>400</v>
      </c>
    </row>
    <row r="310" spans="2:9" x14ac:dyDescent="0.3">
      <c r="B310" s="14" t="s">
        <v>15</v>
      </c>
      <c r="C310" s="15">
        <v>0</v>
      </c>
      <c r="D310" s="15">
        <v>0</v>
      </c>
      <c r="E310" s="15">
        <v>0</v>
      </c>
      <c r="F310" s="15">
        <v>0</v>
      </c>
      <c r="G310" s="15">
        <v>0</v>
      </c>
      <c r="H310" s="15">
        <v>15460</v>
      </c>
      <c r="I310" s="15">
        <v>10560</v>
      </c>
    </row>
    <row r="311" spans="2:9" x14ac:dyDescent="0.3">
      <c r="B311" s="14" t="s">
        <v>16</v>
      </c>
      <c r="C311" s="15">
        <v>0</v>
      </c>
      <c r="D311" s="15">
        <v>0</v>
      </c>
      <c r="E311" s="15">
        <v>0</v>
      </c>
      <c r="F311" s="15">
        <v>0</v>
      </c>
      <c r="G311" s="15">
        <v>0</v>
      </c>
      <c r="H311" s="15">
        <v>116650</v>
      </c>
      <c r="I311" s="15">
        <v>125050</v>
      </c>
    </row>
    <row r="312" spans="2:9" x14ac:dyDescent="0.3">
      <c r="B312" s="14" t="s">
        <v>32</v>
      </c>
      <c r="C312" s="15">
        <v>0</v>
      </c>
      <c r="D312" s="15">
        <v>0</v>
      </c>
      <c r="E312" s="15">
        <v>0</v>
      </c>
      <c r="F312" s="15">
        <v>0</v>
      </c>
      <c r="G312" s="15">
        <v>0</v>
      </c>
      <c r="H312" s="15">
        <v>2000</v>
      </c>
      <c r="I312" s="15">
        <v>2000</v>
      </c>
    </row>
    <row r="313" spans="2:9" x14ac:dyDescent="0.3">
      <c r="B313" s="14" t="s">
        <v>17</v>
      </c>
      <c r="C313" s="15">
        <v>0</v>
      </c>
      <c r="D313" s="15">
        <v>0</v>
      </c>
      <c r="E313" s="15">
        <v>0</v>
      </c>
      <c r="F313" s="15">
        <v>0</v>
      </c>
      <c r="G313" s="15">
        <v>0</v>
      </c>
      <c r="H313" s="15">
        <v>150100</v>
      </c>
      <c r="I313" s="15">
        <v>175100</v>
      </c>
    </row>
    <row r="314" spans="2:9" x14ac:dyDescent="0.3">
      <c r="B314" s="14" t="s">
        <v>18</v>
      </c>
      <c r="C314" s="15">
        <v>0</v>
      </c>
      <c r="D314" s="15">
        <v>0</v>
      </c>
      <c r="E314" s="15">
        <v>0</v>
      </c>
      <c r="F314" s="15">
        <v>0</v>
      </c>
      <c r="G314" s="15">
        <v>0</v>
      </c>
      <c r="H314" s="15">
        <v>593050</v>
      </c>
      <c r="I314" s="15">
        <v>609750</v>
      </c>
    </row>
    <row r="315" spans="2:9" x14ac:dyDescent="0.3">
      <c r="B315" s="14" t="s">
        <v>19</v>
      </c>
      <c r="C315" s="15">
        <v>0</v>
      </c>
      <c r="D315" s="15">
        <v>0</v>
      </c>
      <c r="E315" s="15">
        <v>0</v>
      </c>
      <c r="F315" s="15">
        <v>0</v>
      </c>
      <c r="G315" s="15">
        <v>0</v>
      </c>
      <c r="H315" s="15">
        <v>65100</v>
      </c>
      <c r="I315" s="15">
        <v>69600</v>
      </c>
    </row>
    <row r="316" spans="2:9" x14ac:dyDescent="0.3">
      <c r="B316" s="14" t="s">
        <v>20</v>
      </c>
      <c r="C316" s="15">
        <v>0</v>
      </c>
      <c r="D316" s="15">
        <v>0</v>
      </c>
      <c r="E316" s="15">
        <v>0</v>
      </c>
      <c r="F316" s="15">
        <v>0</v>
      </c>
      <c r="G316" s="15">
        <v>0</v>
      </c>
      <c r="H316" s="15">
        <v>447458295</v>
      </c>
      <c r="I316" s="15">
        <v>454866965</v>
      </c>
    </row>
    <row r="317" spans="2:9" x14ac:dyDescent="0.3">
      <c r="B317" s="14" t="s">
        <v>21</v>
      </c>
      <c r="C317" s="15">
        <v>0</v>
      </c>
      <c r="D317" s="15">
        <v>0</v>
      </c>
      <c r="E317" s="15">
        <v>0</v>
      </c>
      <c r="F317" s="15">
        <v>0</v>
      </c>
      <c r="G317" s="15">
        <v>0</v>
      </c>
      <c r="H317" s="15">
        <v>1000</v>
      </c>
      <c r="I317" s="15">
        <v>0</v>
      </c>
    </row>
    <row r="318" spans="2:9" x14ac:dyDescent="0.3">
      <c r="B318" s="14" t="s">
        <v>22</v>
      </c>
      <c r="C318" s="15">
        <v>0</v>
      </c>
      <c r="D318" s="15">
        <v>0</v>
      </c>
      <c r="E318" s="15">
        <v>0</v>
      </c>
      <c r="F318" s="15">
        <v>0</v>
      </c>
      <c r="G318" s="15">
        <v>0</v>
      </c>
      <c r="H318" s="15">
        <v>603000</v>
      </c>
      <c r="I318" s="15">
        <v>553000</v>
      </c>
    </row>
    <row r="319" spans="2:9" x14ac:dyDescent="0.3">
      <c r="B319" s="14" t="s">
        <v>23</v>
      </c>
      <c r="C319" s="15">
        <v>0</v>
      </c>
      <c r="D319" s="15">
        <v>0</v>
      </c>
      <c r="E319" s="15">
        <v>0</v>
      </c>
      <c r="F319" s="15">
        <v>0</v>
      </c>
      <c r="G319" s="15">
        <v>0</v>
      </c>
      <c r="H319" s="15">
        <v>5295</v>
      </c>
      <c r="I319" s="15">
        <v>5290</v>
      </c>
    </row>
    <row r="320" spans="2:9" x14ac:dyDescent="0.3">
      <c r="B320" s="14" t="s">
        <v>24</v>
      </c>
      <c r="C320" s="15">
        <v>0</v>
      </c>
      <c r="D320" s="15">
        <v>0</v>
      </c>
      <c r="E320" s="15">
        <v>0</v>
      </c>
      <c r="F320" s="15">
        <v>0</v>
      </c>
      <c r="G320" s="15">
        <v>0</v>
      </c>
      <c r="H320" s="15">
        <v>38000</v>
      </c>
      <c r="I320" s="15">
        <v>44000</v>
      </c>
    </row>
    <row r="321" spans="2:9" x14ac:dyDescent="0.3">
      <c r="B321" s="14" t="s">
        <v>25</v>
      </c>
      <c r="C321" s="15">
        <v>0</v>
      </c>
      <c r="D321" s="15">
        <v>0</v>
      </c>
      <c r="E321" s="15">
        <v>0</v>
      </c>
      <c r="F321" s="15">
        <v>0</v>
      </c>
      <c r="G321" s="15">
        <v>0</v>
      </c>
      <c r="H321" s="15">
        <v>104500</v>
      </c>
      <c r="I321" s="15">
        <v>100000</v>
      </c>
    </row>
    <row r="322" spans="2:9" x14ac:dyDescent="0.3">
      <c r="B322" s="14" t="s">
        <v>26</v>
      </c>
      <c r="C322" s="15">
        <v>0</v>
      </c>
      <c r="D322" s="15">
        <v>0</v>
      </c>
      <c r="E322" s="15">
        <v>0</v>
      </c>
      <c r="F322" s="15">
        <v>0</v>
      </c>
      <c r="G322" s="15">
        <v>0</v>
      </c>
      <c r="H322" s="15">
        <v>230000</v>
      </c>
      <c r="I322" s="15">
        <v>130000</v>
      </c>
    </row>
    <row r="323" spans="2:9" x14ac:dyDescent="0.3">
      <c r="B323" s="14" t="s">
        <v>33</v>
      </c>
      <c r="C323" s="15">
        <v>0</v>
      </c>
      <c r="D323" s="15">
        <v>0</v>
      </c>
      <c r="E323" s="15">
        <v>0</v>
      </c>
      <c r="F323" s="15">
        <v>0</v>
      </c>
      <c r="G323" s="15">
        <v>0</v>
      </c>
      <c r="H323" s="15">
        <v>20000</v>
      </c>
      <c r="I323" s="15">
        <v>20000</v>
      </c>
    </row>
    <row r="324" spans="2:9" x14ac:dyDescent="0.3">
      <c r="B324" s="14" t="s">
        <v>27</v>
      </c>
      <c r="C324" s="15">
        <v>0</v>
      </c>
      <c r="D324" s="15">
        <v>0</v>
      </c>
      <c r="E324" s="15">
        <v>0</v>
      </c>
      <c r="F324" s="15">
        <v>0</v>
      </c>
      <c r="G324" s="15">
        <v>0</v>
      </c>
      <c r="H324" s="15">
        <v>295000</v>
      </c>
      <c r="I324" s="15">
        <v>310000</v>
      </c>
    </row>
    <row r="325" spans="2:9" x14ac:dyDescent="0.3">
      <c r="B325" s="14" t="s">
        <v>28</v>
      </c>
      <c r="C325" s="15">
        <v>0</v>
      </c>
      <c r="D325" s="15">
        <v>0</v>
      </c>
      <c r="E325" s="15">
        <v>0</v>
      </c>
      <c r="F325" s="15">
        <v>0</v>
      </c>
      <c r="G325" s="15">
        <v>0</v>
      </c>
      <c r="H325" s="15">
        <v>119700</v>
      </c>
      <c r="I325" s="15">
        <v>136064</v>
      </c>
    </row>
    <row r="326" spans="2:9" ht="15.6" x14ac:dyDescent="0.3">
      <c r="B326" s="16" t="s">
        <v>29</v>
      </c>
      <c r="C326" s="16"/>
      <c r="D326" s="17">
        <f>SUM(D307:D325)</f>
        <v>0</v>
      </c>
      <c r="E326" s="18"/>
      <c r="F326" s="17">
        <f>SUM(F307:F325)</f>
        <v>0</v>
      </c>
      <c r="G326" s="17">
        <f>SUM(G307:G325)</f>
        <v>0</v>
      </c>
      <c r="H326" s="19"/>
      <c r="I326" s="19"/>
    </row>
    <row r="328" spans="2:9" ht="15.6" x14ac:dyDescent="0.3">
      <c r="B328" s="13" t="s">
        <v>53</v>
      </c>
      <c r="C328" s="13"/>
      <c r="D328" s="13"/>
    </row>
    <row r="329" spans="2:9" x14ac:dyDescent="0.3">
      <c r="B329" s="14" t="s">
        <v>12</v>
      </c>
      <c r="C329" s="15">
        <v>880</v>
      </c>
      <c r="D329" s="15">
        <v>200270</v>
      </c>
      <c r="E329" s="15">
        <v>800</v>
      </c>
      <c r="F329" s="15">
        <v>203420</v>
      </c>
      <c r="G329" s="15">
        <v>0</v>
      </c>
      <c r="H329" s="15">
        <v>110</v>
      </c>
      <c r="I329" s="15">
        <v>0</v>
      </c>
    </row>
    <row r="330" spans="2:9" x14ac:dyDescent="0.3">
      <c r="B330" s="14" t="s">
        <v>14</v>
      </c>
      <c r="C330" s="15">
        <v>235</v>
      </c>
      <c r="D330" s="15">
        <v>44721</v>
      </c>
      <c r="E330" s="15">
        <v>580</v>
      </c>
      <c r="F330" s="15">
        <v>123753</v>
      </c>
      <c r="G330" s="15">
        <v>0</v>
      </c>
      <c r="H330" s="15">
        <v>0</v>
      </c>
      <c r="I330" s="15">
        <v>1000</v>
      </c>
    </row>
    <row r="331" spans="2:9" x14ac:dyDescent="0.3">
      <c r="B331" s="14" t="s">
        <v>15</v>
      </c>
      <c r="C331" s="15">
        <v>400</v>
      </c>
      <c r="D331" s="15">
        <v>98950</v>
      </c>
      <c r="E331" s="15">
        <v>310</v>
      </c>
      <c r="F331" s="15">
        <v>83485</v>
      </c>
      <c r="G331" s="15">
        <v>0</v>
      </c>
      <c r="H331" s="15">
        <v>1900</v>
      </c>
      <c r="I331" s="15">
        <v>1000</v>
      </c>
    </row>
    <row r="332" spans="2:9" x14ac:dyDescent="0.3">
      <c r="B332" s="14" t="s">
        <v>16</v>
      </c>
      <c r="C332" s="15">
        <v>9580</v>
      </c>
      <c r="D332" s="15">
        <v>3897430</v>
      </c>
      <c r="E332" s="15">
        <v>1620</v>
      </c>
      <c r="F332" s="15">
        <v>602186</v>
      </c>
      <c r="G332" s="15">
        <v>85550</v>
      </c>
      <c r="H332" s="15">
        <v>8000</v>
      </c>
      <c r="I332" s="15">
        <v>0</v>
      </c>
    </row>
    <row r="333" spans="2:9" x14ac:dyDescent="0.3">
      <c r="B333" s="14" t="s">
        <v>32</v>
      </c>
      <c r="C333" s="15">
        <v>645</v>
      </c>
      <c r="D333" s="15">
        <v>29710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</row>
    <row r="334" spans="2:9" x14ac:dyDescent="0.3">
      <c r="B334" s="14" t="s">
        <v>17</v>
      </c>
      <c r="C334" s="15">
        <v>100</v>
      </c>
      <c r="D334" s="15">
        <v>1412</v>
      </c>
      <c r="E334" s="15">
        <v>23200</v>
      </c>
      <c r="F334" s="15">
        <v>197070</v>
      </c>
      <c r="G334" s="15">
        <v>215585</v>
      </c>
      <c r="H334" s="15">
        <v>15000</v>
      </c>
      <c r="I334" s="15">
        <v>20000</v>
      </c>
    </row>
    <row r="335" spans="2:9" x14ac:dyDescent="0.3">
      <c r="B335" s="14" t="s">
        <v>18</v>
      </c>
      <c r="C335" s="15">
        <v>146918</v>
      </c>
      <c r="D335" s="15">
        <v>56521690</v>
      </c>
      <c r="E335" s="15">
        <v>105846</v>
      </c>
      <c r="F335" s="15">
        <v>30619532</v>
      </c>
      <c r="G335" s="15">
        <v>11786172</v>
      </c>
      <c r="H335" s="15">
        <v>68500</v>
      </c>
      <c r="I335" s="15">
        <v>32850</v>
      </c>
    </row>
    <row r="336" spans="2:9" x14ac:dyDescent="0.3">
      <c r="B336" s="14" t="s">
        <v>19</v>
      </c>
      <c r="C336" s="15">
        <v>10500</v>
      </c>
      <c r="D336" s="15">
        <v>4772009</v>
      </c>
      <c r="E336" s="15">
        <v>7220</v>
      </c>
      <c r="F336" s="15">
        <v>2954505</v>
      </c>
      <c r="G336" s="15">
        <v>495538</v>
      </c>
      <c r="H336" s="15">
        <v>5000</v>
      </c>
      <c r="I336" s="15">
        <v>3200</v>
      </c>
    </row>
    <row r="337" spans="2:9" x14ac:dyDescent="0.3">
      <c r="B337" s="14" t="s">
        <v>20</v>
      </c>
      <c r="C337" s="15">
        <v>0</v>
      </c>
      <c r="D337" s="15">
        <v>0</v>
      </c>
      <c r="E337" s="15">
        <v>0</v>
      </c>
      <c r="F337" s="15">
        <v>0</v>
      </c>
      <c r="G337" s="15">
        <v>0</v>
      </c>
      <c r="H337" s="15">
        <v>13000000</v>
      </c>
      <c r="I337" s="15">
        <v>35060000</v>
      </c>
    </row>
    <row r="338" spans="2:9" x14ac:dyDescent="0.3">
      <c r="B338" s="14" t="s">
        <v>23</v>
      </c>
      <c r="C338" s="15">
        <v>0</v>
      </c>
      <c r="D338" s="15">
        <v>0</v>
      </c>
      <c r="E338" s="15">
        <v>0</v>
      </c>
      <c r="F338" s="15">
        <v>0</v>
      </c>
      <c r="G338" s="15">
        <v>0</v>
      </c>
      <c r="H338" s="15">
        <v>1050</v>
      </c>
      <c r="I338" s="15">
        <v>0</v>
      </c>
    </row>
    <row r="339" spans="2:9" x14ac:dyDescent="0.3">
      <c r="B339" s="14" t="s">
        <v>24</v>
      </c>
      <c r="C339" s="15">
        <v>0</v>
      </c>
      <c r="D339" s="15">
        <v>0</v>
      </c>
      <c r="E339" s="15">
        <v>4690</v>
      </c>
      <c r="F339" s="15">
        <v>217695</v>
      </c>
      <c r="G339" s="15">
        <v>240645</v>
      </c>
      <c r="H339" s="15">
        <v>0</v>
      </c>
      <c r="I339" s="15">
        <v>7000</v>
      </c>
    </row>
    <row r="340" spans="2:9" x14ac:dyDescent="0.3">
      <c r="B340" s="14" t="s">
        <v>25</v>
      </c>
      <c r="C340" s="15">
        <v>9633</v>
      </c>
      <c r="D340" s="15">
        <v>708557</v>
      </c>
      <c r="E340" s="15">
        <v>33699</v>
      </c>
      <c r="F340" s="15">
        <v>1745159</v>
      </c>
      <c r="G340" s="15">
        <v>1138746</v>
      </c>
      <c r="H340" s="15">
        <v>0</v>
      </c>
      <c r="I340" s="15">
        <v>6000</v>
      </c>
    </row>
    <row r="341" spans="2:9" x14ac:dyDescent="0.3">
      <c r="B341" s="14" t="s">
        <v>26</v>
      </c>
      <c r="C341" s="15">
        <v>3220</v>
      </c>
      <c r="D341" s="15">
        <v>9660</v>
      </c>
      <c r="E341" s="15">
        <v>38000</v>
      </c>
      <c r="F341" s="15">
        <v>105180</v>
      </c>
      <c r="G341" s="15">
        <v>40000</v>
      </c>
      <c r="H341" s="15">
        <v>0</v>
      </c>
      <c r="I341" s="15">
        <v>90000</v>
      </c>
    </row>
    <row r="342" spans="2:9" x14ac:dyDescent="0.3">
      <c r="B342" s="14" t="s">
        <v>27</v>
      </c>
      <c r="C342" s="15">
        <v>0</v>
      </c>
      <c r="D342" s="15">
        <v>0</v>
      </c>
      <c r="E342" s="15">
        <v>31800</v>
      </c>
      <c r="F342" s="15">
        <v>261320</v>
      </c>
      <c r="G342" s="15">
        <v>116734</v>
      </c>
      <c r="H342" s="15">
        <v>0</v>
      </c>
      <c r="I342" s="15">
        <v>20000</v>
      </c>
    </row>
    <row r="343" spans="2:9" x14ac:dyDescent="0.3">
      <c r="B343" s="14" t="s">
        <v>28</v>
      </c>
      <c r="C343" s="15">
        <v>13364</v>
      </c>
      <c r="D343" s="15">
        <v>4630681</v>
      </c>
      <c r="E343" s="15">
        <v>19086</v>
      </c>
      <c r="F343" s="15">
        <v>4632990</v>
      </c>
      <c r="G343" s="15">
        <v>2278465</v>
      </c>
      <c r="H343" s="15">
        <v>5300</v>
      </c>
      <c r="I343" s="15">
        <v>9600</v>
      </c>
    </row>
    <row r="344" spans="2:9" ht="15.6" x14ac:dyDescent="0.3">
      <c r="B344" s="16" t="s">
        <v>29</v>
      </c>
      <c r="C344" s="16"/>
      <c r="D344" s="17">
        <f>SUM(D329:D343)</f>
        <v>70915090</v>
      </c>
      <c r="E344" s="18"/>
      <c r="F344" s="17">
        <f>SUM(F329:F343)</f>
        <v>41746295</v>
      </c>
      <c r="G344" s="17">
        <f>SUM(G329:G343)</f>
        <v>16397435</v>
      </c>
      <c r="H344" s="19"/>
      <c r="I344" s="19"/>
    </row>
    <row r="346" spans="2:9" ht="15.6" x14ac:dyDescent="0.3">
      <c r="B346" s="13" t="s">
        <v>54</v>
      </c>
      <c r="C346" s="13"/>
      <c r="D346" s="13"/>
    </row>
    <row r="347" spans="2:9" x14ac:dyDescent="0.3">
      <c r="B347" s="14" t="s">
        <v>12</v>
      </c>
      <c r="C347" s="15">
        <v>0</v>
      </c>
      <c r="D347" s="15">
        <v>0</v>
      </c>
      <c r="E347" s="15">
        <v>0</v>
      </c>
      <c r="F347" s="15">
        <v>0</v>
      </c>
      <c r="G347" s="15">
        <v>0</v>
      </c>
      <c r="H347" s="15">
        <v>620</v>
      </c>
      <c r="I347" s="15">
        <v>500</v>
      </c>
    </row>
    <row r="348" spans="2:9" x14ac:dyDescent="0.3">
      <c r="B348" s="14" t="s">
        <v>14</v>
      </c>
      <c r="C348" s="15">
        <v>545</v>
      </c>
      <c r="D348" s="15">
        <v>104163</v>
      </c>
      <c r="E348" s="15">
        <v>530</v>
      </c>
      <c r="F348" s="15">
        <v>113140</v>
      </c>
      <c r="G348" s="15">
        <v>0</v>
      </c>
      <c r="H348" s="15">
        <v>0</v>
      </c>
      <c r="I348" s="15">
        <v>0</v>
      </c>
    </row>
    <row r="349" spans="2:9" x14ac:dyDescent="0.3">
      <c r="B349" s="14" t="s">
        <v>52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400</v>
      </c>
      <c r="I349" s="15">
        <v>0</v>
      </c>
    </row>
    <row r="350" spans="2:9" x14ac:dyDescent="0.3">
      <c r="B350" s="14" t="s">
        <v>15</v>
      </c>
      <c r="C350" s="15">
        <v>250</v>
      </c>
      <c r="D350" s="15">
        <v>63300</v>
      </c>
      <c r="E350" s="15">
        <v>0</v>
      </c>
      <c r="F350" s="15">
        <v>0</v>
      </c>
      <c r="G350" s="15">
        <v>0</v>
      </c>
      <c r="H350" s="15">
        <v>985</v>
      </c>
      <c r="I350" s="15">
        <v>0</v>
      </c>
    </row>
    <row r="351" spans="2:9" x14ac:dyDescent="0.3">
      <c r="B351" s="14" t="s">
        <v>16</v>
      </c>
      <c r="C351" s="15">
        <v>20020</v>
      </c>
      <c r="D351" s="15">
        <v>8272705</v>
      </c>
      <c r="E351" s="15">
        <v>8510</v>
      </c>
      <c r="F351" s="15">
        <v>3596445</v>
      </c>
      <c r="G351" s="15">
        <v>0</v>
      </c>
      <c r="H351" s="15">
        <v>17000</v>
      </c>
      <c r="I351" s="15">
        <v>6650</v>
      </c>
    </row>
    <row r="352" spans="2:9" x14ac:dyDescent="0.3">
      <c r="B352" s="14" t="s">
        <v>32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1000</v>
      </c>
      <c r="I352" s="15">
        <v>1000</v>
      </c>
    </row>
    <row r="353" spans="2:9" x14ac:dyDescent="0.3">
      <c r="B353" s="14" t="s">
        <v>17</v>
      </c>
      <c r="C353" s="15">
        <v>11600</v>
      </c>
      <c r="D353" s="15">
        <v>176490</v>
      </c>
      <c r="E353" s="15">
        <v>26100</v>
      </c>
      <c r="F353" s="15">
        <v>438115</v>
      </c>
      <c r="G353" s="15">
        <v>0</v>
      </c>
      <c r="H353" s="15">
        <v>0</v>
      </c>
      <c r="I353" s="15">
        <v>20100</v>
      </c>
    </row>
    <row r="354" spans="2:9" x14ac:dyDescent="0.3">
      <c r="B354" s="14" t="s">
        <v>18</v>
      </c>
      <c r="C354" s="15">
        <v>176552</v>
      </c>
      <c r="D354" s="15">
        <v>68855097</v>
      </c>
      <c r="E354" s="15">
        <v>131438</v>
      </c>
      <c r="F354" s="15">
        <v>52056458</v>
      </c>
      <c r="G354" s="15">
        <v>0</v>
      </c>
      <c r="H354" s="15">
        <v>86000</v>
      </c>
      <c r="I354" s="15">
        <v>42050</v>
      </c>
    </row>
    <row r="355" spans="2:9" x14ac:dyDescent="0.3">
      <c r="B355" s="14" t="s">
        <v>19</v>
      </c>
      <c r="C355" s="15">
        <v>27695</v>
      </c>
      <c r="D355" s="15">
        <v>12899682</v>
      </c>
      <c r="E355" s="15">
        <v>3785</v>
      </c>
      <c r="F355" s="15">
        <v>1785695</v>
      </c>
      <c r="G355" s="15">
        <v>0</v>
      </c>
      <c r="H355" s="15">
        <v>26500</v>
      </c>
      <c r="I355" s="15">
        <v>3920</v>
      </c>
    </row>
    <row r="356" spans="2:9" x14ac:dyDescent="0.3">
      <c r="B356" s="14" t="s">
        <v>20</v>
      </c>
      <c r="C356" s="15">
        <v>0</v>
      </c>
      <c r="D356" s="15">
        <v>0</v>
      </c>
      <c r="E356" s="15">
        <v>0</v>
      </c>
      <c r="F356" s="15">
        <v>0</v>
      </c>
      <c r="G356" s="15">
        <v>0</v>
      </c>
      <c r="H356" s="15">
        <v>14793940</v>
      </c>
      <c r="I356" s="15">
        <v>45192440</v>
      </c>
    </row>
    <row r="357" spans="2:9" x14ac:dyDescent="0.3">
      <c r="B357" s="14" t="s">
        <v>21</v>
      </c>
      <c r="C357" s="15">
        <v>800</v>
      </c>
      <c r="D357" s="15">
        <v>70400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</row>
    <row r="358" spans="2:9" x14ac:dyDescent="0.3">
      <c r="B358" s="14" t="s">
        <v>22</v>
      </c>
      <c r="C358" s="15">
        <v>0</v>
      </c>
      <c r="D358" s="15">
        <v>0</v>
      </c>
      <c r="E358" s="15">
        <v>19000</v>
      </c>
      <c r="F358" s="15">
        <v>47500</v>
      </c>
      <c r="G358" s="15">
        <v>0</v>
      </c>
      <c r="H358" s="15">
        <v>110000</v>
      </c>
      <c r="I358" s="15">
        <v>72000</v>
      </c>
    </row>
    <row r="359" spans="2:9" x14ac:dyDescent="0.3">
      <c r="B359" s="14" t="s">
        <v>24</v>
      </c>
      <c r="C359" s="15">
        <v>1200</v>
      </c>
      <c r="D359" s="15">
        <v>109274</v>
      </c>
      <c r="E359" s="15">
        <v>4030</v>
      </c>
      <c r="F359" s="15">
        <v>386305</v>
      </c>
      <c r="G359" s="15">
        <v>0</v>
      </c>
      <c r="H359" s="15">
        <v>0</v>
      </c>
      <c r="I359" s="15">
        <v>4000</v>
      </c>
    </row>
    <row r="360" spans="2:9" x14ac:dyDescent="0.3">
      <c r="B360" s="14" t="s">
        <v>25</v>
      </c>
      <c r="C360" s="15">
        <v>25905</v>
      </c>
      <c r="D360" s="15">
        <v>2004090</v>
      </c>
      <c r="E360" s="15">
        <v>25665</v>
      </c>
      <c r="F360" s="15">
        <v>2072160</v>
      </c>
      <c r="G360" s="15">
        <v>0</v>
      </c>
      <c r="H360" s="15">
        <v>20000</v>
      </c>
      <c r="I360" s="15">
        <v>5000</v>
      </c>
    </row>
    <row r="361" spans="2:9" x14ac:dyDescent="0.3">
      <c r="B361" s="14" t="s">
        <v>26</v>
      </c>
      <c r="C361" s="15">
        <v>86580</v>
      </c>
      <c r="D361" s="15">
        <v>259741</v>
      </c>
      <c r="E361" s="15">
        <v>97720</v>
      </c>
      <c r="F361" s="15">
        <v>370461</v>
      </c>
      <c r="G361" s="15">
        <v>0</v>
      </c>
      <c r="H361" s="15">
        <v>0</v>
      </c>
      <c r="I361" s="15">
        <v>0</v>
      </c>
    </row>
    <row r="362" spans="2:9" x14ac:dyDescent="0.3">
      <c r="B362" s="14" t="s">
        <v>33</v>
      </c>
      <c r="C362" s="15">
        <v>0</v>
      </c>
      <c r="D362" s="15">
        <v>0</v>
      </c>
      <c r="E362" s="15">
        <v>0</v>
      </c>
      <c r="F362" s="15">
        <v>0</v>
      </c>
      <c r="G362" s="15">
        <v>0</v>
      </c>
      <c r="H362" s="15">
        <v>0</v>
      </c>
      <c r="I362" s="15">
        <v>20000</v>
      </c>
    </row>
    <row r="363" spans="2:9" x14ac:dyDescent="0.3">
      <c r="B363" s="14" t="s">
        <v>38</v>
      </c>
      <c r="C363" s="15">
        <v>0</v>
      </c>
      <c r="D363" s="15">
        <v>0</v>
      </c>
      <c r="E363" s="15">
        <v>3180</v>
      </c>
      <c r="F363" s="15">
        <v>44520</v>
      </c>
      <c r="G363" s="15">
        <v>0</v>
      </c>
      <c r="H363" s="15">
        <v>0</v>
      </c>
      <c r="I363" s="15">
        <v>0</v>
      </c>
    </row>
    <row r="364" spans="2:9" x14ac:dyDescent="0.3">
      <c r="B364" s="14" t="s">
        <v>27</v>
      </c>
      <c r="C364" s="15">
        <v>8115</v>
      </c>
      <c r="D364" s="15">
        <v>80328</v>
      </c>
      <c r="E364" s="15">
        <v>43715</v>
      </c>
      <c r="F364" s="15">
        <v>600113</v>
      </c>
      <c r="G364" s="15">
        <v>0</v>
      </c>
      <c r="H364" s="15">
        <v>10000</v>
      </c>
      <c r="I364" s="15">
        <v>50000</v>
      </c>
    </row>
    <row r="365" spans="2:9" x14ac:dyDescent="0.3">
      <c r="B365" s="14" t="s">
        <v>28</v>
      </c>
      <c r="C365" s="15">
        <v>25407</v>
      </c>
      <c r="D365" s="15">
        <v>8920565</v>
      </c>
      <c r="E365" s="15">
        <v>30790</v>
      </c>
      <c r="F365" s="15">
        <v>11011733</v>
      </c>
      <c r="G365" s="15">
        <v>0</v>
      </c>
      <c r="H365" s="15">
        <v>20000</v>
      </c>
      <c r="I365" s="15">
        <v>26000</v>
      </c>
    </row>
    <row r="366" spans="2:9" ht="15.6" x14ac:dyDescent="0.3">
      <c r="B366" s="16" t="s">
        <v>29</v>
      </c>
      <c r="C366" s="16"/>
      <c r="D366" s="17">
        <f>SUM(D347:D365)</f>
        <v>101815835</v>
      </c>
      <c r="E366" s="18"/>
      <c r="F366" s="17">
        <f>SUM(F347:F365)</f>
        <v>72522645</v>
      </c>
      <c r="G366" s="17">
        <f>SUM(G347:G365)</f>
        <v>0</v>
      </c>
      <c r="H366" s="19"/>
      <c r="I366" s="19"/>
    </row>
    <row r="368" spans="2:9" ht="15.6" x14ac:dyDescent="0.3">
      <c r="B368" s="13" t="s">
        <v>55</v>
      </c>
      <c r="C368" s="13"/>
      <c r="D368" s="13"/>
    </row>
    <row r="369" spans="2:9" x14ac:dyDescent="0.3">
      <c r="B369" s="14" t="s">
        <v>12</v>
      </c>
      <c r="C369" s="15">
        <v>0</v>
      </c>
      <c r="D369" s="15">
        <v>0</v>
      </c>
      <c r="E369" s="15">
        <v>9300</v>
      </c>
      <c r="F369" s="15">
        <v>2247750</v>
      </c>
      <c r="G369" s="15">
        <v>12699</v>
      </c>
      <c r="H369" s="15">
        <v>0</v>
      </c>
      <c r="I369" s="15">
        <v>9750</v>
      </c>
    </row>
    <row r="370" spans="2:9" x14ac:dyDescent="0.3">
      <c r="B370" s="14" t="s">
        <v>14</v>
      </c>
      <c r="C370" s="15">
        <v>20</v>
      </c>
      <c r="D370" s="15">
        <v>3808</v>
      </c>
      <c r="E370" s="15">
        <v>100</v>
      </c>
      <c r="F370" s="15">
        <v>0</v>
      </c>
      <c r="G370" s="15">
        <v>21515</v>
      </c>
      <c r="H370" s="15">
        <v>0</v>
      </c>
      <c r="I370" s="15">
        <v>0</v>
      </c>
    </row>
    <row r="371" spans="2:9" x14ac:dyDescent="0.3">
      <c r="B371" s="14" t="s">
        <v>15</v>
      </c>
      <c r="C371" s="15">
        <v>0</v>
      </c>
      <c r="D371" s="15">
        <v>0</v>
      </c>
      <c r="E371" s="15">
        <v>700</v>
      </c>
      <c r="F371" s="15">
        <v>188475</v>
      </c>
      <c r="G371" s="15">
        <v>0</v>
      </c>
      <c r="H371" s="15">
        <v>0</v>
      </c>
      <c r="I371" s="15">
        <v>0</v>
      </c>
    </row>
    <row r="372" spans="2:9" x14ac:dyDescent="0.3">
      <c r="B372" s="14" t="s">
        <v>16</v>
      </c>
      <c r="C372" s="15">
        <v>20900</v>
      </c>
      <c r="D372" s="15">
        <v>8492904</v>
      </c>
      <c r="E372" s="15">
        <v>430</v>
      </c>
      <c r="F372" s="15">
        <v>184085</v>
      </c>
      <c r="G372" s="15">
        <v>0</v>
      </c>
      <c r="H372" s="15">
        <v>22000</v>
      </c>
      <c r="I372" s="15">
        <v>0</v>
      </c>
    </row>
    <row r="373" spans="2:9" x14ac:dyDescent="0.3">
      <c r="B373" s="14" t="s">
        <v>32</v>
      </c>
      <c r="C373" s="15">
        <v>0</v>
      </c>
      <c r="D373" s="15">
        <v>0</v>
      </c>
      <c r="E373" s="15">
        <v>0</v>
      </c>
      <c r="F373" s="15">
        <v>0</v>
      </c>
      <c r="G373" s="15">
        <v>0</v>
      </c>
      <c r="H373" s="15">
        <v>0</v>
      </c>
      <c r="I373" s="15">
        <v>1000</v>
      </c>
    </row>
    <row r="374" spans="2:9" x14ac:dyDescent="0.3">
      <c r="B374" s="14" t="s">
        <v>17</v>
      </c>
      <c r="C374" s="15">
        <v>100</v>
      </c>
      <c r="D374" s="15">
        <v>1418</v>
      </c>
      <c r="E374" s="15">
        <v>4700</v>
      </c>
      <c r="F374" s="15">
        <v>3420</v>
      </c>
      <c r="G374" s="15">
        <v>82190</v>
      </c>
      <c r="H374" s="15">
        <v>0</v>
      </c>
      <c r="I374" s="15">
        <v>20000</v>
      </c>
    </row>
    <row r="375" spans="2:9" x14ac:dyDescent="0.3">
      <c r="B375" s="14" t="s">
        <v>18</v>
      </c>
      <c r="C375" s="15">
        <v>99746</v>
      </c>
      <c r="D375" s="15">
        <v>38387836</v>
      </c>
      <c r="E375" s="15">
        <v>78268</v>
      </c>
      <c r="F375" s="15">
        <v>24338178</v>
      </c>
      <c r="G375" s="15">
        <v>7020960</v>
      </c>
      <c r="H375" s="15">
        <v>43000</v>
      </c>
      <c r="I375" s="15">
        <v>22950</v>
      </c>
    </row>
    <row r="376" spans="2:9" x14ac:dyDescent="0.3">
      <c r="B376" s="14" t="s">
        <v>19</v>
      </c>
      <c r="C376" s="15">
        <v>5680</v>
      </c>
      <c r="D376" s="15">
        <v>2582115</v>
      </c>
      <c r="E376" s="15">
        <v>6765</v>
      </c>
      <c r="F376" s="15">
        <v>2468515</v>
      </c>
      <c r="G376" s="15">
        <v>756201</v>
      </c>
      <c r="H376" s="15">
        <v>2000</v>
      </c>
      <c r="I376" s="15">
        <v>3180</v>
      </c>
    </row>
    <row r="377" spans="2:9" x14ac:dyDescent="0.3">
      <c r="B377" s="14" t="s">
        <v>20</v>
      </c>
      <c r="C377" s="15">
        <v>0</v>
      </c>
      <c r="D377" s="15">
        <v>0</v>
      </c>
      <c r="E377" s="15">
        <v>0</v>
      </c>
      <c r="F377" s="15">
        <v>0</v>
      </c>
      <c r="G377" s="15">
        <v>0</v>
      </c>
      <c r="H377" s="15">
        <v>12000000</v>
      </c>
      <c r="I377" s="15">
        <v>23453000</v>
      </c>
    </row>
    <row r="378" spans="2:9" x14ac:dyDescent="0.3">
      <c r="B378" s="14" t="s">
        <v>22</v>
      </c>
      <c r="C378" s="15">
        <v>0</v>
      </c>
      <c r="D378" s="15">
        <v>0</v>
      </c>
      <c r="E378" s="15">
        <v>187000</v>
      </c>
      <c r="F378" s="15">
        <v>0</v>
      </c>
      <c r="G378" s="15">
        <v>493865</v>
      </c>
      <c r="H378" s="15">
        <v>72000</v>
      </c>
      <c r="I378" s="15">
        <v>259000</v>
      </c>
    </row>
    <row r="379" spans="2:9" x14ac:dyDescent="0.3">
      <c r="B379" s="14" t="s">
        <v>24</v>
      </c>
      <c r="C379" s="15">
        <v>1590</v>
      </c>
      <c r="D379" s="15">
        <v>135610</v>
      </c>
      <c r="E379" s="15">
        <v>1720</v>
      </c>
      <c r="F379" s="15">
        <v>109990</v>
      </c>
      <c r="G379" s="15">
        <v>58730</v>
      </c>
      <c r="H379" s="15">
        <v>0</v>
      </c>
      <c r="I379" s="15">
        <v>2000</v>
      </c>
    </row>
    <row r="380" spans="2:9" x14ac:dyDescent="0.3">
      <c r="B380" s="14" t="s">
        <v>25</v>
      </c>
      <c r="C380" s="15">
        <v>7484</v>
      </c>
      <c r="D380" s="15">
        <v>551085</v>
      </c>
      <c r="E380" s="15">
        <v>30844</v>
      </c>
      <c r="F380" s="15">
        <v>2144067</v>
      </c>
      <c r="G380" s="15">
        <v>494370</v>
      </c>
      <c r="H380" s="15">
        <v>0</v>
      </c>
      <c r="I380" s="15">
        <v>23500</v>
      </c>
    </row>
    <row r="381" spans="2:9" x14ac:dyDescent="0.3">
      <c r="B381" s="14" t="s">
        <v>26</v>
      </c>
      <c r="C381" s="15">
        <v>180</v>
      </c>
      <c r="D381" s="15">
        <v>542</v>
      </c>
      <c r="E381" s="15">
        <v>68000</v>
      </c>
      <c r="F381" s="15">
        <v>257740</v>
      </c>
      <c r="G381" s="15">
        <v>0</v>
      </c>
      <c r="H381" s="15">
        <v>0</v>
      </c>
      <c r="I381" s="15">
        <v>0</v>
      </c>
    </row>
    <row r="382" spans="2:9" x14ac:dyDescent="0.3">
      <c r="B382" s="14" t="s">
        <v>27</v>
      </c>
      <c r="C382" s="15">
        <v>0</v>
      </c>
      <c r="D382" s="15">
        <v>0</v>
      </c>
      <c r="E382" s="15">
        <v>35100</v>
      </c>
      <c r="F382" s="15">
        <v>234205</v>
      </c>
      <c r="G382" s="15">
        <v>290415</v>
      </c>
      <c r="H382" s="15">
        <v>0</v>
      </c>
      <c r="I382" s="15">
        <v>55000</v>
      </c>
    </row>
    <row r="383" spans="2:9" x14ac:dyDescent="0.3">
      <c r="B383" s="14" t="s">
        <v>28</v>
      </c>
      <c r="C383" s="15">
        <v>5314</v>
      </c>
      <c r="D383" s="15">
        <v>1842757</v>
      </c>
      <c r="E383" s="15">
        <v>7196</v>
      </c>
      <c r="F383" s="15">
        <v>2497135</v>
      </c>
      <c r="G383" s="15">
        <v>107760</v>
      </c>
      <c r="H383" s="15">
        <v>3000</v>
      </c>
      <c r="I383" s="15">
        <v>9600</v>
      </c>
    </row>
    <row r="384" spans="2:9" ht="15.6" x14ac:dyDescent="0.3">
      <c r="B384" s="16" t="s">
        <v>29</v>
      </c>
      <c r="C384" s="16"/>
      <c r="D384" s="17">
        <f>SUM(D369:D383)</f>
        <v>51998075</v>
      </c>
      <c r="E384" s="18"/>
      <c r="F384" s="17">
        <f>SUM(F369:F383)</f>
        <v>34673560</v>
      </c>
      <c r="G384" s="17">
        <f>SUM(G369:G383)</f>
        <v>9338705</v>
      </c>
      <c r="H384" s="19"/>
      <c r="I384" s="19"/>
    </row>
    <row r="386" spans="2:9" ht="15.6" x14ac:dyDescent="0.3">
      <c r="B386" s="13" t="s">
        <v>56</v>
      </c>
      <c r="C386" s="13"/>
      <c r="D386" s="13"/>
    </row>
    <row r="387" spans="2:9" x14ac:dyDescent="0.3">
      <c r="B387" s="14" t="s">
        <v>12</v>
      </c>
      <c r="C387" s="15">
        <v>2770</v>
      </c>
      <c r="D387" s="15">
        <v>628365</v>
      </c>
      <c r="E387" s="15">
        <v>0</v>
      </c>
      <c r="F387" s="15">
        <v>0</v>
      </c>
      <c r="G387" s="15">
        <v>0</v>
      </c>
      <c r="H387" s="15">
        <v>2500</v>
      </c>
      <c r="I387" s="15">
        <v>0</v>
      </c>
    </row>
    <row r="388" spans="2:9" x14ac:dyDescent="0.3">
      <c r="B388" s="14" t="s">
        <v>13</v>
      </c>
      <c r="C388" s="15">
        <v>10</v>
      </c>
      <c r="D388" s="15">
        <v>1900</v>
      </c>
      <c r="E388" s="15">
        <v>70</v>
      </c>
      <c r="F388" s="15">
        <v>0</v>
      </c>
      <c r="G388" s="15">
        <v>15560</v>
      </c>
      <c r="H388" s="15">
        <v>0</v>
      </c>
      <c r="I388" s="15">
        <v>0</v>
      </c>
    </row>
    <row r="389" spans="2:9" x14ac:dyDescent="0.3">
      <c r="B389" s="14" t="s">
        <v>14</v>
      </c>
      <c r="C389" s="15">
        <v>75</v>
      </c>
      <c r="D389" s="15">
        <v>14298</v>
      </c>
      <c r="E389" s="15">
        <v>450</v>
      </c>
      <c r="F389" s="15">
        <v>96730</v>
      </c>
      <c r="G389" s="15">
        <v>0</v>
      </c>
      <c r="H389" s="15">
        <v>2000</v>
      </c>
      <c r="I389" s="15">
        <v>0</v>
      </c>
    </row>
    <row r="390" spans="2:9" x14ac:dyDescent="0.3">
      <c r="B390" s="14" t="s">
        <v>15</v>
      </c>
      <c r="C390" s="15">
        <v>0</v>
      </c>
      <c r="D390" s="15">
        <v>0</v>
      </c>
      <c r="E390" s="15">
        <v>1500</v>
      </c>
      <c r="F390" s="15">
        <v>0</v>
      </c>
      <c r="G390" s="15">
        <v>407145</v>
      </c>
      <c r="H390" s="15">
        <v>2220</v>
      </c>
      <c r="I390" s="15">
        <v>3540</v>
      </c>
    </row>
    <row r="391" spans="2:9" x14ac:dyDescent="0.3">
      <c r="B391" s="14" t="s">
        <v>16</v>
      </c>
      <c r="C391" s="15">
        <v>8830</v>
      </c>
      <c r="D391" s="15">
        <v>3590290</v>
      </c>
      <c r="E391" s="15">
        <v>400</v>
      </c>
      <c r="F391" s="15">
        <v>170775</v>
      </c>
      <c r="G391" s="15">
        <v>0</v>
      </c>
      <c r="H391" s="15">
        <v>9000</v>
      </c>
      <c r="I391" s="15">
        <v>1000</v>
      </c>
    </row>
    <row r="392" spans="2:9" x14ac:dyDescent="0.3">
      <c r="B392" s="14" t="s">
        <v>17</v>
      </c>
      <c r="C392" s="15">
        <v>2600</v>
      </c>
      <c r="D392" s="15">
        <v>36737</v>
      </c>
      <c r="E392" s="15">
        <v>23400</v>
      </c>
      <c r="F392" s="15">
        <v>385405</v>
      </c>
      <c r="G392" s="15">
        <v>36240</v>
      </c>
      <c r="H392" s="15">
        <v>0</v>
      </c>
      <c r="I392" s="15">
        <v>20000</v>
      </c>
    </row>
    <row r="393" spans="2:9" x14ac:dyDescent="0.3">
      <c r="B393" s="14" t="s">
        <v>18</v>
      </c>
      <c r="C393" s="15">
        <v>157028</v>
      </c>
      <c r="D393" s="15">
        <v>60406793</v>
      </c>
      <c r="E393" s="15">
        <v>85796</v>
      </c>
      <c r="F393" s="15">
        <v>21253499</v>
      </c>
      <c r="G393" s="15">
        <v>13071759</v>
      </c>
      <c r="H393" s="15">
        <v>83000</v>
      </c>
      <c r="I393" s="15">
        <v>15800</v>
      </c>
    </row>
    <row r="394" spans="2:9" x14ac:dyDescent="0.3">
      <c r="B394" s="14" t="s">
        <v>19</v>
      </c>
      <c r="C394" s="15">
        <v>7560</v>
      </c>
      <c r="D394" s="15">
        <v>3454198</v>
      </c>
      <c r="E394" s="15">
        <v>13010</v>
      </c>
      <c r="F394" s="15">
        <v>6119490</v>
      </c>
      <c r="G394" s="15">
        <v>71400</v>
      </c>
      <c r="H394" s="15">
        <v>6500</v>
      </c>
      <c r="I394" s="15">
        <v>11990</v>
      </c>
    </row>
    <row r="395" spans="2:9" x14ac:dyDescent="0.3">
      <c r="B395" s="14" t="s">
        <v>20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  <c r="H395" s="15">
        <v>1500000</v>
      </c>
      <c r="I395" s="15">
        <v>39200500</v>
      </c>
    </row>
    <row r="396" spans="2:9" x14ac:dyDescent="0.3">
      <c r="B396" s="14" t="s">
        <v>22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50000</v>
      </c>
      <c r="I396" s="15">
        <v>0</v>
      </c>
    </row>
    <row r="397" spans="2:9" x14ac:dyDescent="0.3">
      <c r="B397" s="14" t="s">
        <v>24</v>
      </c>
      <c r="C397" s="15">
        <v>1510</v>
      </c>
      <c r="D397" s="15">
        <v>127806</v>
      </c>
      <c r="E397" s="15">
        <v>11470</v>
      </c>
      <c r="F397" s="15">
        <v>1073620</v>
      </c>
      <c r="G397" s="15">
        <v>37245</v>
      </c>
      <c r="H397" s="15">
        <v>0</v>
      </c>
      <c r="I397" s="15">
        <v>10000</v>
      </c>
    </row>
    <row r="398" spans="2:9" x14ac:dyDescent="0.3">
      <c r="B398" s="14" t="s">
        <v>25</v>
      </c>
      <c r="C398" s="15">
        <v>32531</v>
      </c>
      <c r="D398" s="15">
        <v>2398134</v>
      </c>
      <c r="E398" s="15">
        <v>11437</v>
      </c>
      <c r="F398" s="15">
        <v>709651</v>
      </c>
      <c r="G398" s="15">
        <v>269680</v>
      </c>
      <c r="H398" s="15">
        <v>20000</v>
      </c>
      <c r="I398" s="15">
        <v>0</v>
      </c>
    </row>
    <row r="399" spans="2:9" x14ac:dyDescent="0.3">
      <c r="B399" s="14" t="s">
        <v>26</v>
      </c>
      <c r="C399" s="15">
        <v>136480</v>
      </c>
      <c r="D399" s="15">
        <v>410440</v>
      </c>
      <c r="E399" s="15">
        <v>92050</v>
      </c>
      <c r="F399" s="15">
        <v>333175</v>
      </c>
      <c r="G399" s="15">
        <v>17200</v>
      </c>
      <c r="H399" s="15">
        <v>50000</v>
      </c>
      <c r="I399" s="15">
        <v>0</v>
      </c>
    </row>
    <row r="400" spans="2:9" x14ac:dyDescent="0.3">
      <c r="B400" s="14" t="s">
        <v>27</v>
      </c>
      <c r="C400" s="15">
        <v>0</v>
      </c>
      <c r="D400" s="15">
        <v>0</v>
      </c>
      <c r="E400" s="15">
        <v>5700</v>
      </c>
      <c r="F400" s="15">
        <v>57890</v>
      </c>
      <c r="G400" s="15">
        <v>9095</v>
      </c>
      <c r="H400" s="15">
        <v>10000</v>
      </c>
      <c r="I400" s="15">
        <v>10000</v>
      </c>
    </row>
    <row r="401" spans="2:9" x14ac:dyDescent="0.3">
      <c r="B401" s="14" t="s">
        <v>28</v>
      </c>
      <c r="C401" s="15">
        <v>6332</v>
      </c>
      <c r="D401" s="15">
        <v>2181829</v>
      </c>
      <c r="E401" s="15">
        <v>14872</v>
      </c>
      <c r="F401" s="15">
        <v>2878860</v>
      </c>
      <c r="G401" s="15">
        <v>2479351</v>
      </c>
      <c r="H401" s="15">
        <v>0</v>
      </c>
      <c r="I401" s="15">
        <v>8350</v>
      </c>
    </row>
    <row r="402" spans="2:9" ht="15.6" x14ac:dyDescent="0.3">
      <c r="B402" s="16" t="s">
        <v>29</v>
      </c>
      <c r="C402" s="16"/>
      <c r="D402" s="17">
        <f>SUM(D387:D401)</f>
        <v>73250790</v>
      </c>
      <c r="E402" s="18"/>
      <c r="F402" s="17">
        <f>SUM(F387:F401)</f>
        <v>33079095</v>
      </c>
      <c r="G402" s="17">
        <f>SUM(G387:G401)</f>
        <v>16414675</v>
      </c>
      <c r="H402" s="19"/>
      <c r="I402" s="19"/>
    </row>
    <row r="404" spans="2:9" ht="15.6" x14ac:dyDescent="0.3">
      <c r="B404" s="13" t="s">
        <v>57</v>
      </c>
      <c r="C404" s="13"/>
      <c r="D404" s="13"/>
    </row>
    <row r="405" spans="2:9" x14ac:dyDescent="0.3">
      <c r="B405" s="14" t="s">
        <v>14</v>
      </c>
      <c r="C405" s="15">
        <v>100</v>
      </c>
      <c r="D405" s="15">
        <v>19225</v>
      </c>
      <c r="E405" s="15">
        <v>525</v>
      </c>
      <c r="F405" s="15">
        <v>42900</v>
      </c>
      <c r="G405" s="15">
        <v>69300</v>
      </c>
      <c r="H405" s="15">
        <v>0</v>
      </c>
      <c r="I405" s="15">
        <v>0</v>
      </c>
    </row>
    <row r="406" spans="2:9" x14ac:dyDescent="0.3">
      <c r="B406" s="14" t="s">
        <v>15</v>
      </c>
      <c r="C406" s="15">
        <v>205</v>
      </c>
      <c r="D406" s="15">
        <v>50976</v>
      </c>
      <c r="E406" s="15">
        <v>0</v>
      </c>
      <c r="F406" s="15">
        <v>0</v>
      </c>
      <c r="G406" s="15">
        <v>0</v>
      </c>
      <c r="H406" s="15">
        <v>705</v>
      </c>
      <c r="I406" s="15">
        <v>0</v>
      </c>
    </row>
    <row r="407" spans="2:9" x14ac:dyDescent="0.3">
      <c r="B407" s="14" t="s">
        <v>16</v>
      </c>
      <c r="C407" s="15">
        <v>7940</v>
      </c>
      <c r="D407" s="15">
        <v>3217589</v>
      </c>
      <c r="E407" s="15">
        <v>2000</v>
      </c>
      <c r="F407" s="15">
        <v>850141</v>
      </c>
      <c r="G407" s="15">
        <v>0</v>
      </c>
      <c r="H407" s="15">
        <v>7000</v>
      </c>
      <c r="I407" s="15">
        <v>1500</v>
      </c>
    </row>
    <row r="408" spans="2:9" x14ac:dyDescent="0.3">
      <c r="B408" s="14" t="s">
        <v>32</v>
      </c>
      <c r="C408" s="15">
        <v>525</v>
      </c>
      <c r="D408" s="15">
        <v>24184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</row>
    <row r="409" spans="2:9" x14ac:dyDescent="0.3">
      <c r="B409" s="14" t="s">
        <v>17</v>
      </c>
      <c r="C409" s="15">
        <v>24200</v>
      </c>
      <c r="D409" s="15">
        <v>342694</v>
      </c>
      <c r="E409" s="15">
        <v>1700</v>
      </c>
      <c r="F409" s="15">
        <v>12225</v>
      </c>
      <c r="G409" s="15">
        <v>18250</v>
      </c>
      <c r="H409" s="15">
        <v>0</v>
      </c>
      <c r="I409" s="15">
        <v>0</v>
      </c>
    </row>
    <row r="410" spans="2:9" x14ac:dyDescent="0.3">
      <c r="B410" s="14" t="s">
        <v>18</v>
      </c>
      <c r="C410" s="15">
        <v>65331</v>
      </c>
      <c r="D410" s="15">
        <v>25122749</v>
      </c>
      <c r="E410" s="15">
        <v>58839</v>
      </c>
      <c r="F410" s="15">
        <v>19666600</v>
      </c>
      <c r="G410" s="15">
        <v>3890306</v>
      </c>
      <c r="H410" s="15">
        <v>15150</v>
      </c>
      <c r="I410" s="15">
        <v>13300</v>
      </c>
    </row>
    <row r="411" spans="2:9" x14ac:dyDescent="0.3">
      <c r="B411" s="14" t="s">
        <v>19</v>
      </c>
      <c r="C411" s="15">
        <v>8565</v>
      </c>
      <c r="D411" s="15">
        <v>3897860</v>
      </c>
      <c r="E411" s="15">
        <v>1620</v>
      </c>
      <c r="F411" s="15">
        <v>574540</v>
      </c>
      <c r="G411" s="15">
        <v>201330</v>
      </c>
      <c r="H411" s="15">
        <v>8000</v>
      </c>
      <c r="I411" s="15">
        <v>1210</v>
      </c>
    </row>
    <row r="412" spans="2:9" x14ac:dyDescent="0.3">
      <c r="B412" s="14" t="s">
        <v>20</v>
      </c>
      <c r="C412" s="15">
        <v>0</v>
      </c>
      <c r="D412" s="15">
        <v>0</v>
      </c>
      <c r="E412" s="15">
        <v>0</v>
      </c>
      <c r="F412" s="15">
        <v>0</v>
      </c>
      <c r="G412" s="15">
        <v>0</v>
      </c>
      <c r="H412" s="15">
        <v>2500000</v>
      </c>
      <c r="I412" s="15">
        <v>10384250</v>
      </c>
    </row>
    <row r="413" spans="2:9" x14ac:dyDescent="0.3">
      <c r="B413" s="14" t="s">
        <v>22</v>
      </c>
      <c r="C413" s="15">
        <v>0</v>
      </c>
      <c r="D413" s="15">
        <v>0</v>
      </c>
      <c r="E413" s="15">
        <v>200000</v>
      </c>
      <c r="F413" s="15">
        <v>0</v>
      </c>
      <c r="G413" s="15">
        <v>528800</v>
      </c>
      <c r="H413" s="15">
        <v>0</v>
      </c>
      <c r="I413" s="15">
        <v>200000</v>
      </c>
    </row>
    <row r="414" spans="2:9" x14ac:dyDescent="0.3">
      <c r="B414" s="14" t="s">
        <v>24</v>
      </c>
      <c r="C414" s="15">
        <v>1500</v>
      </c>
      <c r="D414" s="15">
        <v>127429</v>
      </c>
      <c r="E414" s="15">
        <v>50</v>
      </c>
      <c r="F414" s="15">
        <v>0</v>
      </c>
      <c r="G414" s="15">
        <v>4925</v>
      </c>
      <c r="H414" s="15">
        <v>4000</v>
      </c>
      <c r="I414" s="15">
        <v>0</v>
      </c>
    </row>
    <row r="415" spans="2:9" x14ac:dyDescent="0.3">
      <c r="B415" s="14" t="s">
        <v>25</v>
      </c>
      <c r="C415" s="15">
        <v>18701</v>
      </c>
      <c r="D415" s="15">
        <v>1376956</v>
      </c>
      <c r="E415" s="15">
        <v>16352</v>
      </c>
      <c r="F415" s="15">
        <v>855410</v>
      </c>
      <c r="G415" s="15">
        <v>546970</v>
      </c>
      <c r="H415" s="15">
        <v>5000</v>
      </c>
      <c r="I415" s="15">
        <v>0</v>
      </c>
    </row>
    <row r="416" spans="2:9" x14ac:dyDescent="0.3">
      <c r="B416" s="14" t="s">
        <v>26</v>
      </c>
      <c r="C416" s="15">
        <v>49530</v>
      </c>
      <c r="D416" s="15">
        <v>149580</v>
      </c>
      <c r="E416" s="15">
        <v>15080</v>
      </c>
      <c r="F416" s="15">
        <v>54611</v>
      </c>
      <c r="G416" s="15">
        <v>3689</v>
      </c>
      <c r="H416" s="15">
        <v>50000</v>
      </c>
      <c r="I416" s="15">
        <v>0</v>
      </c>
    </row>
    <row r="417" spans="2:9" x14ac:dyDescent="0.3">
      <c r="B417" s="14" t="s">
        <v>33</v>
      </c>
      <c r="C417" s="15">
        <v>0</v>
      </c>
      <c r="D417" s="15">
        <v>0</v>
      </c>
      <c r="E417" s="15">
        <v>50</v>
      </c>
      <c r="F417" s="15">
        <v>240</v>
      </c>
      <c r="G417" s="15">
        <v>0</v>
      </c>
      <c r="H417" s="15">
        <v>20000</v>
      </c>
      <c r="I417" s="15">
        <v>0</v>
      </c>
    </row>
    <row r="418" spans="2:9" x14ac:dyDescent="0.3">
      <c r="B418" s="14" t="s">
        <v>27</v>
      </c>
      <c r="C418" s="15">
        <v>0</v>
      </c>
      <c r="D418" s="15">
        <v>0</v>
      </c>
      <c r="E418" s="15">
        <v>18600</v>
      </c>
      <c r="F418" s="15">
        <v>257600</v>
      </c>
      <c r="G418" s="15">
        <v>0</v>
      </c>
      <c r="H418" s="15">
        <v>0</v>
      </c>
      <c r="I418" s="15">
        <v>30000</v>
      </c>
    </row>
    <row r="419" spans="2:9" x14ac:dyDescent="0.3">
      <c r="B419" s="14" t="s">
        <v>28</v>
      </c>
      <c r="C419" s="15">
        <v>5519</v>
      </c>
      <c r="D419" s="15">
        <v>1909548</v>
      </c>
      <c r="E419" s="15">
        <v>8092</v>
      </c>
      <c r="F419" s="15">
        <v>2064303</v>
      </c>
      <c r="G419" s="15">
        <v>861945</v>
      </c>
      <c r="H419" s="15">
        <v>0</v>
      </c>
      <c r="I419" s="15">
        <v>2200</v>
      </c>
    </row>
    <row r="420" spans="2:9" ht="15.6" x14ac:dyDescent="0.3">
      <c r="B420" s="16" t="s">
        <v>29</v>
      </c>
      <c r="C420" s="16"/>
      <c r="D420" s="17">
        <f>SUM(D405:D419)</f>
        <v>36238790</v>
      </c>
      <c r="E420" s="18"/>
      <c r="F420" s="17">
        <f>SUM(F405:F419)</f>
        <v>24378570</v>
      </c>
      <c r="G420" s="17">
        <f>SUM(G405:G419)</f>
        <v>6125515</v>
      </c>
      <c r="H420" s="19"/>
      <c r="I420" s="19"/>
    </row>
    <row r="422" spans="2:9" ht="15.6" x14ac:dyDescent="0.3">
      <c r="B422" s="13" t="s">
        <v>58</v>
      </c>
      <c r="C422" s="13"/>
      <c r="D422" s="13"/>
    </row>
    <row r="423" spans="2:9" x14ac:dyDescent="0.3">
      <c r="B423" s="14" t="s">
        <v>12</v>
      </c>
      <c r="C423" s="15">
        <v>20</v>
      </c>
      <c r="D423" s="15">
        <v>4605</v>
      </c>
      <c r="E423" s="15">
        <v>0</v>
      </c>
      <c r="F423" s="15">
        <v>0</v>
      </c>
      <c r="G423" s="15">
        <v>0</v>
      </c>
      <c r="H423" s="15">
        <v>820</v>
      </c>
      <c r="I423" s="15">
        <v>1200</v>
      </c>
    </row>
    <row r="424" spans="2:9" x14ac:dyDescent="0.3">
      <c r="B424" s="14" t="s">
        <v>13</v>
      </c>
      <c r="C424" s="15">
        <v>30</v>
      </c>
      <c r="D424" s="15">
        <v>5587</v>
      </c>
      <c r="E424" s="15">
        <v>50</v>
      </c>
      <c r="F424" s="15">
        <v>11059</v>
      </c>
      <c r="G424" s="15">
        <v>0</v>
      </c>
      <c r="H424" s="15">
        <v>0</v>
      </c>
      <c r="I424" s="15">
        <v>0</v>
      </c>
    </row>
    <row r="425" spans="2:9" x14ac:dyDescent="0.3">
      <c r="B425" s="14" t="s">
        <v>14</v>
      </c>
      <c r="C425" s="15">
        <v>195</v>
      </c>
      <c r="D425" s="15">
        <v>37380</v>
      </c>
      <c r="E425" s="15">
        <v>1625</v>
      </c>
      <c r="F425" s="15">
        <v>261590</v>
      </c>
      <c r="G425" s="15">
        <v>86025</v>
      </c>
      <c r="H425" s="15">
        <v>0</v>
      </c>
      <c r="I425" s="15">
        <v>3000</v>
      </c>
    </row>
    <row r="426" spans="2:9" x14ac:dyDescent="0.3">
      <c r="B426" s="14" t="s">
        <v>52</v>
      </c>
      <c r="C426" s="15">
        <v>0</v>
      </c>
      <c r="D426" s="15">
        <v>0</v>
      </c>
      <c r="E426" s="15">
        <v>10</v>
      </c>
      <c r="F426" s="15">
        <v>0</v>
      </c>
      <c r="G426" s="15">
        <v>840</v>
      </c>
      <c r="H426" s="15">
        <v>0</v>
      </c>
      <c r="I426" s="15">
        <v>400</v>
      </c>
    </row>
    <row r="427" spans="2:9" x14ac:dyDescent="0.3">
      <c r="B427" s="14" t="s">
        <v>15</v>
      </c>
      <c r="C427" s="15">
        <v>650</v>
      </c>
      <c r="D427" s="15">
        <v>164480</v>
      </c>
      <c r="E427" s="15">
        <v>1140</v>
      </c>
      <c r="F427" s="15">
        <v>170650</v>
      </c>
      <c r="G427" s="15">
        <v>132820</v>
      </c>
      <c r="H427" s="15">
        <v>3300</v>
      </c>
      <c r="I427" s="15">
        <v>1700</v>
      </c>
    </row>
    <row r="428" spans="2:9" x14ac:dyDescent="0.3">
      <c r="B428" s="14" t="s">
        <v>16</v>
      </c>
      <c r="C428" s="15">
        <v>28290</v>
      </c>
      <c r="D428" s="15">
        <v>11717162</v>
      </c>
      <c r="E428" s="15">
        <v>7790</v>
      </c>
      <c r="F428" s="15">
        <v>1866112</v>
      </c>
      <c r="G428" s="15">
        <v>1426306</v>
      </c>
      <c r="H428" s="15">
        <v>24000</v>
      </c>
      <c r="I428" s="15">
        <v>3000</v>
      </c>
    </row>
    <row r="429" spans="2:9" x14ac:dyDescent="0.3">
      <c r="B429" s="14" t="s">
        <v>32</v>
      </c>
      <c r="C429" s="15">
        <v>120</v>
      </c>
      <c r="D429" s="15">
        <v>5526</v>
      </c>
      <c r="E429" s="15">
        <v>20</v>
      </c>
      <c r="F429" s="15">
        <v>1205</v>
      </c>
      <c r="G429" s="15">
        <v>0</v>
      </c>
      <c r="H429" s="15">
        <v>0</v>
      </c>
      <c r="I429" s="15">
        <v>0</v>
      </c>
    </row>
    <row r="430" spans="2:9" x14ac:dyDescent="0.3">
      <c r="B430" s="14" t="s">
        <v>17</v>
      </c>
      <c r="C430" s="15">
        <v>21600</v>
      </c>
      <c r="D430" s="15">
        <v>322360</v>
      </c>
      <c r="E430" s="15">
        <v>49300</v>
      </c>
      <c r="F430" s="15">
        <v>474165</v>
      </c>
      <c r="G430" s="15">
        <v>342003</v>
      </c>
      <c r="H430" s="15">
        <v>0</v>
      </c>
      <c r="I430" s="15">
        <v>30000</v>
      </c>
    </row>
    <row r="431" spans="2:9" x14ac:dyDescent="0.3">
      <c r="B431" s="14" t="s">
        <v>18</v>
      </c>
      <c r="C431" s="15">
        <v>297022</v>
      </c>
      <c r="D431" s="15">
        <v>115630817</v>
      </c>
      <c r="E431" s="15">
        <v>231303</v>
      </c>
      <c r="F431" s="15">
        <v>66356931</v>
      </c>
      <c r="G431" s="15">
        <v>25447295</v>
      </c>
      <c r="H431" s="15">
        <v>144000</v>
      </c>
      <c r="I431" s="15">
        <v>66000</v>
      </c>
    </row>
    <row r="432" spans="2:9" x14ac:dyDescent="0.3">
      <c r="B432" s="14" t="s">
        <v>19</v>
      </c>
      <c r="C432" s="15">
        <v>5000</v>
      </c>
      <c r="D432" s="15">
        <v>2303216</v>
      </c>
      <c r="E432" s="15">
        <v>9890</v>
      </c>
      <c r="F432" s="15">
        <v>4351781</v>
      </c>
      <c r="G432" s="15">
        <v>333415</v>
      </c>
      <c r="H432" s="15">
        <v>1000</v>
      </c>
      <c r="I432" s="15">
        <v>6500</v>
      </c>
    </row>
    <row r="433" spans="2:9" x14ac:dyDescent="0.3">
      <c r="B433" s="14" t="s">
        <v>20</v>
      </c>
      <c r="C433" s="15">
        <v>0</v>
      </c>
      <c r="D433" s="15">
        <v>0</v>
      </c>
      <c r="E433" s="15">
        <v>0</v>
      </c>
      <c r="F433" s="15">
        <v>0</v>
      </c>
      <c r="G433" s="15">
        <v>0</v>
      </c>
      <c r="H433" s="15">
        <v>24600000</v>
      </c>
      <c r="I433" s="15">
        <v>76183750</v>
      </c>
    </row>
    <row r="434" spans="2:9" x14ac:dyDescent="0.3">
      <c r="B434" s="14" t="s">
        <v>21</v>
      </c>
      <c r="C434" s="15">
        <v>0</v>
      </c>
      <c r="D434" s="15">
        <v>0</v>
      </c>
      <c r="E434" s="15">
        <v>20</v>
      </c>
      <c r="F434" s="15">
        <v>0</v>
      </c>
      <c r="G434" s="15">
        <v>2112</v>
      </c>
      <c r="H434" s="15">
        <v>0</v>
      </c>
      <c r="I434" s="15">
        <v>1000</v>
      </c>
    </row>
    <row r="435" spans="2:9" x14ac:dyDescent="0.3">
      <c r="B435" s="14" t="s">
        <v>22</v>
      </c>
      <c r="C435" s="15">
        <v>0</v>
      </c>
      <c r="D435" s="15">
        <v>0</v>
      </c>
      <c r="E435" s="15">
        <v>49000</v>
      </c>
      <c r="F435" s="15">
        <v>99060</v>
      </c>
      <c r="G435" s="15">
        <v>25700</v>
      </c>
      <c r="H435" s="15">
        <v>48000</v>
      </c>
      <c r="I435" s="15">
        <v>72000</v>
      </c>
    </row>
    <row r="436" spans="2:9" x14ac:dyDescent="0.3">
      <c r="B436" s="14" t="s">
        <v>23</v>
      </c>
      <c r="C436" s="15">
        <v>0</v>
      </c>
      <c r="D436" s="15">
        <v>0</v>
      </c>
      <c r="E436" s="15">
        <v>3000</v>
      </c>
      <c r="F436" s="15">
        <v>0</v>
      </c>
      <c r="G436" s="15">
        <v>692100</v>
      </c>
      <c r="H436" s="15">
        <v>1240</v>
      </c>
      <c r="I436" s="15">
        <v>3000</v>
      </c>
    </row>
    <row r="437" spans="2:9" x14ac:dyDescent="0.3">
      <c r="B437" s="14" t="s">
        <v>24</v>
      </c>
      <c r="C437" s="15">
        <v>940</v>
      </c>
      <c r="D437" s="15">
        <v>81904</v>
      </c>
      <c r="E437" s="15">
        <v>6360</v>
      </c>
      <c r="F437" s="15">
        <v>476790</v>
      </c>
      <c r="G437" s="15">
        <v>137446</v>
      </c>
      <c r="H437" s="15">
        <v>0</v>
      </c>
      <c r="I437" s="15">
        <v>10000</v>
      </c>
    </row>
    <row r="438" spans="2:9" x14ac:dyDescent="0.3">
      <c r="B438" s="14" t="s">
        <v>25</v>
      </c>
      <c r="C438" s="15">
        <v>7482</v>
      </c>
      <c r="D438" s="15">
        <v>560995</v>
      </c>
      <c r="E438" s="15">
        <v>38573</v>
      </c>
      <c r="F438" s="15">
        <v>2365943</v>
      </c>
      <c r="G438" s="15">
        <v>850463</v>
      </c>
      <c r="H438" s="15">
        <v>0</v>
      </c>
      <c r="I438" s="15">
        <v>35600</v>
      </c>
    </row>
    <row r="439" spans="2:9" x14ac:dyDescent="0.3">
      <c r="B439" s="14" t="s">
        <v>26</v>
      </c>
      <c r="C439" s="15">
        <v>32310</v>
      </c>
      <c r="D439" s="15">
        <v>97141</v>
      </c>
      <c r="E439" s="15">
        <v>143590</v>
      </c>
      <c r="F439" s="15">
        <v>551826</v>
      </c>
      <c r="G439" s="15">
        <v>0</v>
      </c>
      <c r="H439" s="15">
        <v>0</v>
      </c>
      <c r="I439" s="15">
        <v>100000</v>
      </c>
    </row>
    <row r="440" spans="2:9" x14ac:dyDescent="0.3">
      <c r="B440" s="14" t="s">
        <v>38</v>
      </c>
      <c r="C440" s="15">
        <v>170</v>
      </c>
      <c r="D440" s="15">
        <v>1190</v>
      </c>
      <c r="E440" s="15">
        <v>20</v>
      </c>
      <c r="F440" s="15">
        <v>0</v>
      </c>
      <c r="G440" s="15">
        <v>280</v>
      </c>
      <c r="H440" s="15">
        <v>0</v>
      </c>
      <c r="I440" s="15">
        <v>0</v>
      </c>
    </row>
    <row r="441" spans="2:9" x14ac:dyDescent="0.3">
      <c r="B441" s="14" t="s">
        <v>27</v>
      </c>
      <c r="C441" s="15">
        <v>920</v>
      </c>
      <c r="D441" s="15">
        <v>9017</v>
      </c>
      <c r="E441" s="15">
        <v>53305</v>
      </c>
      <c r="F441" s="15">
        <v>395375</v>
      </c>
      <c r="G441" s="15">
        <v>371313</v>
      </c>
      <c r="H441" s="15">
        <v>0</v>
      </c>
      <c r="I441" s="15">
        <v>80000</v>
      </c>
    </row>
    <row r="442" spans="2:9" x14ac:dyDescent="0.3">
      <c r="B442" s="14" t="s">
        <v>28</v>
      </c>
      <c r="C442" s="15">
        <v>42654</v>
      </c>
      <c r="D442" s="15">
        <v>14942160</v>
      </c>
      <c r="E442" s="15">
        <v>29392</v>
      </c>
      <c r="F442" s="15">
        <v>6974893</v>
      </c>
      <c r="G442" s="15">
        <v>3566997</v>
      </c>
      <c r="H442" s="15">
        <v>29700</v>
      </c>
      <c r="I442" s="15">
        <v>21050</v>
      </c>
    </row>
    <row r="443" spans="2:9" ht="15.6" x14ac:dyDescent="0.3">
      <c r="B443" s="16" t="s">
        <v>29</v>
      </c>
      <c r="C443" s="16"/>
      <c r="D443" s="17">
        <f>SUM(D423:D442)</f>
        <v>145883540</v>
      </c>
      <c r="E443" s="18"/>
      <c r="F443" s="17">
        <f>SUM(F423:F442)</f>
        <v>84357380</v>
      </c>
      <c r="G443" s="17">
        <f>SUM(G423:G442)</f>
        <v>33415115</v>
      </c>
      <c r="H443" s="19"/>
      <c r="I443" s="19"/>
    </row>
    <row r="445" spans="2:9" ht="15.6" x14ac:dyDescent="0.3">
      <c r="B445" s="13" t="s">
        <v>59</v>
      </c>
      <c r="C445" s="13"/>
      <c r="D445" s="13"/>
    </row>
    <row r="446" spans="2:9" x14ac:dyDescent="0.3">
      <c r="B446" s="14" t="s">
        <v>13</v>
      </c>
      <c r="C446" s="15">
        <v>20</v>
      </c>
      <c r="D446" s="15">
        <v>3800</v>
      </c>
      <c r="E446" s="15">
        <v>0</v>
      </c>
      <c r="F446" s="15">
        <v>0</v>
      </c>
      <c r="G446" s="15">
        <v>0</v>
      </c>
      <c r="H446" s="15">
        <v>0</v>
      </c>
      <c r="I446" s="15">
        <v>0</v>
      </c>
    </row>
    <row r="447" spans="2:9" x14ac:dyDescent="0.3">
      <c r="B447" s="14" t="s">
        <v>14</v>
      </c>
      <c r="C447" s="15">
        <v>345</v>
      </c>
      <c r="D447" s="15">
        <v>65766</v>
      </c>
      <c r="E447" s="15">
        <v>1125</v>
      </c>
      <c r="F447" s="15">
        <v>197488</v>
      </c>
      <c r="G447" s="15">
        <v>42640</v>
      </c>
      <c r="H447" s="15">
        <v>0</v>
      </c>
      <c r="I447" s="15">
        <v>0</v>
      </c>
    </row>
    <row r="448" spans="2:9" x14ac:dyDescent="0.3">
      <c r="B448" s="14" t="s">
        <v>15</v>
      </c>
      <c r="C448" s="15">
        <v>950</v>
      </c>
      <c r="D448" s="15">
        <v>236067</v>
      </c>
      <c r="E448" s="15">
        <v>0</v>
      </c>
      <c r="F448" s="15">
        <v>0</v>
      </c>
      <c r="G448" s="15">
        <v>0</v>
      </c>
      <c r="H448" s="15">
        <v>1450</v>
      </c>
      <c r="I448" s="15">
        <v>0</v>
      </c>
    </row>
    <row r="449" spans="2:9" x14ac:dyDescent="0.3">
      <c r="B449" s="14" t="s">
        <v>16</v>
      </c>
      <c r="C449" s="15">
        <v>24070</v>
      </c>
      <c r="D449" s="15">
        <v>9798111</v>
      </c>
      <c r="E449" s="15">
        <v>1400</v>
      </c>
      <c r="F449" s="15">
        <v>572835</v>
      </c>
      <c r="G449" s="15">
        <v>25800</v>
      </c>
      <c r="H449" s="15">
        <v>24050</v>
      </c>
      <c r="I449" s="15">
        <v>0</v>
      </c>
    </row>
    <row r="450" spans="2:9" x14ac:dyDescent="0.3">
      <c r="B450" s="14" t="s">
        <v>17</v>
      </c>
      <c r="C450" s="15">
        <v>3300</v>
      </c>
      <c r="D450" s="15">
        <v>46615</v>
      </c>
      <c r="E450" s="15">
        <v>32000</v>
      </c>
      <c r="F450" s="15">
        <v>457916</v>
      </c>
      <c r="G450" s="15">
        <v>101120</v>
      </c>
      <c r="H450" s="15">
        <v>0</v>
      </c>
      <c r="I450" s="15">
        <v>40000</v>
      </c>
    </row>
    <row r="451" spans="2:9" x14ac:dyDescent="0.3">
      <c r="B451" s="14" t="s">
        <v>18</v>
      </c>
      <c r="C451" s="15">
        <v>105499</v>
      </c>
      <c r="D451" s="15">
        <v>40630291</v>
      </c>
      <c r="E451" s="15">
        <v>68485</v>
      </c>
      <c r="F451" s="15">
        <v>20782979</v>
      </c>
      <c r="G451" s="15">
        <v>6626546</v>
      </c>
      <c r="H451" s="15">
        <v>35000</v>
      </c>
      <c r="I451" s="15">
        <v>12650</v>
      </c>
    </row>
    <row r="452" spans="2:9" x14ac:dyDescent="0.3">
      <c r="B452" s="14" t="s">
        <v>19</v>
      </c>
      <c r="C452" s="15">
        <v>13175</v>
      </c>
      <c r="D452" s="15">
        <v>6035745</v>
      </c>
      <c r="E452" s="15">
        <v>3710</v>
      </c>
      <c r="F452" s="15">
        <v>1602175</v>
      </c>
      <c r="G452" s="15">
        <v>162190</v>
      </c>
      <c r="H452" s="15">
        <v>10600</v>
      </c>
      <c r="I452" s="15">
        <v>0</v>
      </c>
    </row>
    <row r="453" spans="2:9" x14ac:dyDescent="0.3">
      <c r="B453" s="14" t="s">
        <v>20</v>
      </c>
      <c r="C453" s="15">
        <v>0</v>
      </c>
      <c r="D453" s="15">
        <v>0</v>
      </c>
      <c r="E453" s="15">
        <v>0</v>
      </c>
      <c r="F453" s="15">
        <v>0</v>
      </c>
      <c r="G453" s="15">
        <v>0</v>
      </c>
      <c r="H453" s="15">
        <v>6000000</v>
      </c>
      <c r="I453" s="15">
        <v>24163500</v>
      </c>
    </row>
    <row r="454" spans="2:9" x14ac:dyDescent="0.3">
      <c r="B454" s="14" t="s">
        <v>22</v>
      </c>
      <c r="C454" s="15">
        <v>0</v>
      </c>
      <c r="D454" s="15">
        <v>0</v>
      </c>
      <c r="E454" s="15">
        <v>0</v>
      </c>
      <c r="F454" s="15">
        <v>0</v>
      </c>
      <c r="G454" s="15">
        <v>0</v>
      </c>
      <c r="H454" s="15">
        <v>73000</v>
      </c>
      <c r="I454" s="15">
        <v>0</v>
      </c>
    </row>
    <row r="455" spans="2:9" x14ac:dyDescent="0.3">
      <c r="B455" s="14" t="s">
        <v>40</v>
      </c>
      <c r="C455" s="15">
        <v>0</v>
      </c>
      <c r="D455" s="15">
        <v>0</v>
      </c>
      <c r="E455" s="15">
        <v>400</v>
      </c>
      <c r="F455" s="15">
        <v>0</v>
      </c>
      <c r="G455" s="15">
        <v>8000</v>
      </c>
      <c r="H455" s="15">
        <v>0</v>
      </c>
      <c r="I455" s="15">
        <v>0</v>
      </c>
    </row>
    <row r="456" spans="2:9" x14ac:dyDescent="0.3">
      <c r="B456" s="14" t="s">
        <v>24</v>
      </c>
      <c r="C456" s="15">
        <v>270</v>
      </c>
      <c r="D456" s="15">
        <v>22920</v>
      </c>
      <c r="E456" s="15">
        <v>6620</v>
      </c>
      <c r="F456" s="15">
        <v>570305</v>
      </c>
      <c r="G456" s="15">
        <v>78000</v>
      </c>
      <c r="H456" s="15">
        <v>0</v>
      </c>
      <c r="I456" s="15">
        <v>5000</v>
      </c>
    </row>
    <row r="457" spans="2:9" x14ac:dyDescent="0.3">
      <c r="B457" s="14" t="s">
        <v>25</v>
      </c>
      <c r="C457" s="15">
        <v>9268</v>
      </c>
      <c r="D457" s="15">
        <v>682297</v>
      </c>
      <c r="E457" s="15">
        <v>36950</v>
      </c>
      <c r="F457" s="15">
        <v>2365297</v>
      </c>
      <c r="G457" s="15">
        <v>792075</v>
      </c>
      <c r="H457" s="15">
        <v>0</v>
      </c>
      <c r="I457" s="15">
        <v>26400</v>
      </c>
    </row>
    <row r="458" spans="2:9" x14ac:dyDescent="0.3">
      <c r="B458" s="14" t="s">
        <v>26</v>
      </c>
      <c r="C458" s="15">
        <v>3320</v>
      </c>
      <c r="D458" s="15">
        <v>9960</v>
      </c>
      <c r="E458" s="15">
        <v>35590</v>
      </c>
      <c r="F458" s="15">
        <v>60595</v>
      </c>
      <c r="G458" s="15">
        <v>76760</v>
      </c>
      <c r="H458" s="15">
        <v>0</v>
      </c>
      <c r="I458" s="15">
        <v>40000</v>
      </c>
    </row>
    <row r="459" spans="2:9" x14ac:dyDescent="0.3">
      <c r="B459" s="14" t="s">
        <v>27</v>
      </c>
      <c r="C459" s="15">
        <v>130</v>
      </c>
      <c r="D459" s="15">
        <v>1274</v>
      </c>
      <c r="E459" s="15">
        <v>42130</v>
      </c>
      <c r="F459" s="15">
        <v>316400</v>
      </c>
      <c r="G459" s="15">
        <v>168700</v>
      </c>
      <c r="H459" s="15">
        <v>10000</v>
      </c>
      <c r="I459" s="15">
        <v>50000</v>
      </c>
    </row>
    <row r="460" spans="2:9" x14ac:dyDescent="0.3">
      <c r="B460" s="14" t="s">
        <v>28</v>
      </c>
      <c r="C460" s="15">
        <v>5238</v>
      </c>
      <c r="D460" s="15">
        <v>1813854</v>
      </c>
      <c r="E460" s="15">
        <v>20422</v>
      </c>
      <c r="F460" s="15">
        <v>6040860</v>
      </c>
      <c r="G460" s="15">
        <v>1333744</v>
      </c>
      <c r="H460" s="15">
        <v>664</v>
      </c>
      <c r="I460" s="15">
        <v>18700</v>
      </c>
    </row>
    <row r="461" spans="2:9" ht="15.6" x14ac:dyDescent="0.3">
      <c r="B461" s="16" t="s">
        <v>29</v>
      </c>
      <c r="C461" s="16"/>
      <c r="D461" s="17">
        <f>SUM(D446:D460)</f>
        <v>59346700</v>
      </c>
      <c r="E461" s="18"/>
      <c r="F461" s="17">
        <f>SUM(F446:F460)</f>
        <v>32966850</v>
      </c>
      <c r="G461" s="17">
        <f>SUM(G446:G460)</f>
        <v>9415575</v>
      </c>
      <c r="H461" s="19"/>
      <c r="I461" s="19"/>
    </row>
    <row r="463" spans="2:9" ht="15.6" x14ac:dyDescent="0.3">
      <c r="B463" s="13" t="s">
        <v>60</v>
      </c>
      <c r="C463" s="13"/>
      <c r="D463" s="13"/>
    </row>
    <row r="464" spans="2:9" x14ac:dyDescent="0.3">
      <c r="B464" s="14" t="s">
        <v>12</v>
      </c>
      <c r="C464" s="15">
        <v>0</v>
      </c>
      <c r="D464" s="15">
        <v>0</v>
      </c>
      <c r="E464" s="15">
        <v>700</v>
      </c>
      <c r="F464" s="15">
        <v>169400</v>
      </c>
      <c r="G464" s="15">
        <v>0</v>
      </c>
      <c r="H464" s="15">
        <v>0</v>
      </c>
      <c r="I464" s="15">
        <v>0</v>
      </c>
    </row>
    <row r="465" spans="2:9" x14ac:dyDescent="0.3">
      <c r="B465" s="14" t="s">
        <v>14</v>
      </c>
      <c r="C465" s="15">
        <v>50</v>
      </c>
      <c r="D465" s="15">
        <v>9572</v>
      </c>
      <c r="E465" s="15">
        <v>630</v>
      </c>
      <c r="F465" s="15">
        <v>134565</v>
      </c>
      <c r="G465" s="15">
        <v>0</v>
      </c>
      <c r="H465" s="15">
        <v>0</v>
      </c>
      <c r="I465" s="15">
        <v>0</v>
      </c>
    </row>
    <row r="466" spans="2:9" x14ac:dyDescent="0.3">
      <c r="B466" s="14" t="s">
        <v>15</v>
      </c>
      <c r="C466" s="15">
        <v>835</v>
      </c>
      <c r="D466" s="15">
        <v>208150</v>
      </c>
      <c r="E466" s="15">
        <v>500</v>
      </c>
      <c r="F466" s="15">
        <v>135450</v>
      </c>
      <c r="G466" s="15">
        <v>0</v>
      </c>
      <c r="H466" s="15">
        <v>0</v>
      </c>
      <c r="I466" s="15">
        <v>2220</v>
      </c>
    </row>
    <row r="467" spans="2:9" x14ac:dyDescent="0.3">
      <c r="B467" s="14" t="s">
        <v>16</v>
      </c>
      <c r="C467" s="15">
        <v>14540</v>
      </c>
      <c r="D467" s="15">
        <v>5943850</v>
      </c>
      <c r="E467" s="15">
        <v>1870</v>
      </c>
      <c r="F467" s="15">
        <v>798335</v>
      </c>
      <c r="G467" s="15">
        <v>0</v>
      </c>
      <c r="H467" s="15">
        <v>14000</v>
      </c>
      <c r="I467" s="15">
        <v>1500</v>
      </c>
    </row>
    <row r="468" spans="2:9" x14ac:dyDescent="0.3">
      <c r="B468" s="14" t="s">
        <v>17</v>
      </c>
      <c r="C468" s="15">
        <v>400</v>
      </c>
      <c r="D468" s="15">
        <v>5674</v>
      </c>
      <c r="E468" s="15">
        <v>7400</v>
      </c>
      <c r="F468" s="15">
        <v>132116</v>
      </c>
      <c r="G468" s="15">
        <v>0</v>
      </c>
      <c r="H468" s="15">
        <v>10100</v>
      </c>
      <c r="I468" s="15">
        <v>0</v>
      </c>
    </row>
    <row r="469" spans="2:9" x14ac:dyDescent="0.3">
      <c r="B469" s="14" t="s">
        <v>18</v>
      </c>
      <c r="C469" s="15">
        <v>87345</v>
      </c>
      <c r="D469" s="15">
        <v>33576903</v>
      </c>
      <c r="E469" s="15">
        <v>50336</v>
      </c>
      <c r="F469" s="15">
        <v>17551452</v>
      </c>
      <c r="G469" s="15">
        <v>2603365</v>
      </c>
      <c r="H469" s="15">
        <v>51000</v>
      </c>
      <c r="I469" s="15">
        <v>14350</v>
      </c>
    </row>
    <row r="470" spans="2:9" x14ac:dyDescent="0.3">
      <c r="B470" s="14" t="s">
        <v>19</v>
      </c>
      <c r="C470" s="15">
        <v>2635</v>
      </c>
      <c r="D470" s="15">
        <v>1213556</v>
      </c>
      <c r="E470" s="15">
        <v>1555</v>
      </c>
      <c r="F470" s="15">
        <v>738745</v>
      </c>
      <c r="G470" s="15">
        <v>0</v>
      </c>
      <c r="H470" s="15">
        <v>0</v>
      </c>
      <c r="I470" s="15">
        <v>1100</v>
      </c>
    </row>
    <row r="471" spans="2:9" x14ac:dyDescent="0.3">
      <c r="B471" s="14" t="s">
        <v>20</v>
      </c>
      <c r="C471" s="15">
        <v>0</v>
      </c>
      <c r="D471" s="15">
        <v>0</v>
      </c>
      <c r="E471" s="15">
        <v>0</v>
      </c>
      <c r="F471" s="15">
        <v>0</v>
      </c>
      <c r="G471" s="15">
        <v>0</v>
      </c>
      <c r="H471" s="15">
        <v>4000000</v>
      </c>
      <c r="I471" s="15">
        <v>21980500</v>
      </c>
    </row>
    <row r="472" spans="2:9" x14ac:dyDescent="0.3">
      <c r="B472" s="14" t="s">
        <v>23</v>
      </c>
      <c r="C472" s="15">
        <v>0</v>
      </c>
      <c r="D472" s="15">
        <v>0</v>
      </c>
      <c r="E472" s="15">
        <v>1075</v>
      </c>
      <c r="F472" s="15">
        <v>239725</v>
      </c>
      <c r="G472" s="15">
        <v>0</v>
      </c>
      <c r="H472" s="15">
        <v>0</v>
      </c>
      <c r="I472" s="15">
        <v>2295</v>
      </c>
    </row>
    <row r="473" spans="2:9" x14ac:dyDescent="0.3">
      <c r="B473" s="14" t="s">
        <v>24</v>
      </c>
      <c r="C473" s="15">
        <v>0</v>
      </c>
      <c r="D473" s="15">
        <v>0</v>
      </c>
      <c r="E473" s="15">
        <v>1000</v>
      </c>
      <c r="F473" s="15">
        <v>97670</v>
      </c>
      <c r="G473" s="15">
        <v>0</v>
      </c>
      <c r="H473" s="15">
        <v>0</v>
      </c>
      <c r="I473" s="15">
        <v>0</v>
      </c>
    </row>
    <row r="474" spans="2:9" x14ac:dyDescent="0.3">
      <c r="B474" s="14" t="s">
        <v>25</v>
      </c>
      <c r="C474" s="15">
        <v>23885</v>
      </c>
      <c r="D474" s="15">
        <v>1765733</v>
      </c>
      <c r="E474" s="15">
        <v>23735</v>
      </c>
      <c r="F474" s="15">
        <v>1711282</v>
      </c>
      <c r="G474" s="15">
        <v>320690</v>
      </c>
      <c r="H474" s="15">
        <v>15000</v>
      </c>
      <c r="I474" s="15">
        <v>8000</v>
      </c>
    </row>
    <row r="475" spans="2:9" x14ac:dyDescent="0.3">
      <c r="B475" s="14" t="s">
        <v>26</v>
      </c>
      <c r="C475" s="15">
        <v>15460</v>
      </c>
      <c r="D475" s="15">
        <v>46672</v>
      </c>
      <c r="E475" s="15">
        <v>1150</v>
      </c>
      <c r="F475" s="15">
        <v>4245</v>
      </c>
      <c r="G475" s="15">
        <v>0</v>
      </c>
      <c r="H475" s="15">
        <v>30000</v>
      </c>
      <c r="I475" s="15">
        <v>0</v>
      </c>
    </row>
    <row r="476" spans="2:9" x14ac:dyDescent="0.3">
      <c r="B476" s="14" t="s">
        <v>27</v>
      </c>
      <c r="C476" s="15">
        <v>120</v>
      </c>
      <c r="D476" s="15">
        <v>1175</v>
      </c>
      <c r="E476" s="15">
        <v>6215</v>
      </c>
      <c r="F476" s="15">
        <v>98195</v>
      </c>
      <c r="G476" s="15">
        <v>0</v>
      </c>
      <c r="H476" s="15">
        <v>0</v>
      </c>
      <c r="I476" s="15">
        <v>0</v>
      </c>
    </row>
    <row r="477" spans="2:9" x14ac:dyDescent="0.3">
      <c r="B477" s="14" t="s">
        <v>28</v>
      </c>
      <c r="C477" s="15">
        <v>4938</v>
      </c>
      <c r="D477" s="15">
        <v>1705690</v>
      </c>
      <c r="E477" s="15">
        <v>9548</v>
      </c>
      <c r="F477" s="15">
        <v>2598835</v>
      </c>
      <c r="G477" s="15">
        <v>845675</v>
      </c>
      <c r="H477" s="15">
        <v>1400</v>
      </c>
      <c r="I477" s="15">
        <v>8200</v>
      </c>
    </row>
    <row r="478" spans="2:9" ht="15.6" x14ac:dyDescent="0.3">
      <c r="B478" s="16" t="s">
        <v>29</v>
      </c>
      <c r="C478" s="16"/>
      <c r="D478" s="17">
        <f>SUM(D464:D477)</f>
        <v>44476975</v>
      </c>
      <c r="E478" s="18"/>
      <c r="F478" s="17">
        <f>SUM(F464:F477)</f>
        <v>24410015</v>
      </c>
      <c r="G478" s="17">
        <f>SUM(G464:G477)</f>
        <v>3769730</v>
      </c>
      <c r="H478" s="19"/>
      <c r="I478" s="19"/>
    </row>
    <row r="480" spans="2:9" ht="17.399999999999999" x14ac:dyDescent="0.3">
      <c r="B480" s="20" t="s">
        <v>61</v>
      </c>
      <c r="C480" s="20"/>
      <c r="D480" s="20"/>
      <c r="E480" s="20"/>
      <c r="F480" s="20"/>
      <c r="G480" s="20"/>
      <c r="H480" s="20"/>
      <c r="I480" s="20"/>
    </row>
    <row r="481" spans="2:9" ht="15.6" x14ac:dyDescent="0.3">
      <c r="B481" s="13" t="s">
        <v>62</v>
      </c>
      <c r="C481" s="13"/>
      <c r="D481" s="13"/>
    </row>
    <row r="482" spans="2:9" x14ac:dyDescent="0.3">
      <c r="B482" s="14" t="s">
        <v>12</v>
      </c>
      <c r="C482" s="15">
        <v>0</v>
      </c>
      <c r="D482" s="15">
        <v>0</v>
      </c>
      <c r="E482" s="15">
        <v>0</v>
      </c>
      <c r="F482" s="15">
        <v>0</v>
      </c>
      <c r="G482" s="15">
        <v>0</v>
      </c>
      <c r="H482" s="15">
        <v>2700</v>
      </c>
      <c r="I482" s="15">
        <v>600</v>
      </c>
    </row>
    <row r="483" spans="2:9" x14ac:dyDescent="0.3">
      <c r="B483" s="14" t="s">
        <v>14</v>
      </c>
      <c r="C483" s="15">
        <v>0</v>
      </c>
      <c r="D483" s="15">
        <v>0</v>
      </c>
      <c r="E483" s="15">
        <v>0</v>
      </c>
      <c r="F483" s="15">
        <v>0</v>
      </c>
      <c r="G483" s="15">
        <v>0</v>
      </c>
      <c r="H483" s="15">
        <v>6800</v>
      </c>
      <c r="I483" s="15">
        <v>4000</v>
      </c>
    </row>
    <row r="484" spans="2:9" x14ac:dyDescent="0.3">
      <c r="B484" s="14" t="s">
        <v>52</v>
      </c>
      <c r="C484" s="15">
        <v>0</v>
      </c>
      <c r="D484" s="15">
        <v>0</v>
      </c>
      <c r="E484" s="15">
        <v>0</v>
      </c>
      <c r="F484" s="15">
        <v>0</v>
      </c>
      <c r="G484" s="15">
        <v>0</v>
      </c>
      <c r="H484" s="15">
        <v>50</v>
      </c>
      <c r="I484" s="15">
        <v>50</v>
      </c>
    </row>
    <row r="485" spans="2:9" x14ac:dyDescent="0.3">
      <c r="B485" s="14" t="s">
        <v>15</v>
      </c>
      <c r="C485" s="15">
        <v>0</v>
      </c>
      <c r="D485" s="15">
        <v>0</v>
      </c>
      <c r="E485" s="15">
        <v>0</v>
      </c>
      <c r="F485" s="15">
        <v>0</v>
      </c>
      <c r="G485" s="15">
        <v>0</v>
      </c>
      <c r="H485" s="15">
        <v>7750</v>
      </c>
      <c r="I485" s="15">
        <v>6800</v>
      </c>
    </row>
    <row r="486" spans="2:9" x14ac:dyDescent="0.3">
      <c r="B486" s="14" t="s">
        <v>16</v>
      </c>
      <c r="C486" s="15">
        <v>0</v>
      </c>
      <c r="D486" s="15">
        <v>0</v>
      </c>
      <c r="E486" s="15">
        <v>0</v>
      </c>
      <c r="F486" s="15">
        <v>0</v>
      </c>
      <c r="G486" s="15">
        <v>0</v>
      </c>
      <c r="H486" s="15">
        <v>122800</v>
      </c>
      <c r="I486" s="15">
        <v>122800</v>
      </c>
    </row>
    <row r="487" spans="2:9" x14ac:dyDescent="0.3">
      <c r="B487" s="14" t="s">
        <v>32</v>
      </c>
      <c r="C487" s="15">
        <v>0</v>
      </c>
      <c r="D487" s="15">
        <v>0</v>
      </c>
      <c r="E487" s="15">
        <v>0</v>
      </c>
      <c r="F487" s="15">
        <v>0</v>
      </c>
      <c r="G487" s="15">
        <v>0</v>
      </c>
      <c r="H487" s="15">
        <v>1590</v>
      </c>
      <c r="I487" s="15">
        <v>1590</v>
      </c>
    </row>
    <row r="488" spans="2:9" x14ac:dyDescent="0.3">
      <c r="B488" s="14" t="s">
        <v>17</v>
      </c>
      <c r="C488" s="15">
        <v>0</v>
      </c>
      <c r="D488" s="15">
        <v>0</v>
      </c>
      <c r="E488" s="15">
        <v>0</v>
      </c>
      <c r="F488" s="15">
        <v>0</v>
      </c>
      <c r="G488" s="15">
        <v>0</v>
      </c>
      <c r="H488" s="15">
        <v>145000</v>
      </c>
      <c r="I488" s="15">
        <v>70000</v>
      </c>
    </row>
    <row r="489" spans="2:9" x14ac:dyDescent="0.3">
      <c r="B489" s="14" t="s">
        <v>18</v>
      </c>
      <c r="C489" s="15">
        <v>0</v>
      </c>
      <c r="D489" s="15">
        <v>0</v>
      </c>
      <c r="E489" s="15">
        <v>0</v>
      </c>
      <c r="F489" s="15">
        <v>0</v>
      </c>
      <c r="G489" s="15">
        <v>0</v>
      </c>
      <c r="H489" s="15">
        <v>925220</v>
      </c>
      <c r="I489" s="15">
        <v>848800</v>
      </c>
    </row>
    <row r="490" spans="2:9" x14ac:dyDescent="0.3">
      <c r="B490" s="14" t="s">
        <v>19</v>
      </c>
      <c r="C490" s="15">
        <v>0</v>
      </c>
      <c r="D490" s="15">
        <v>0</v>
      </c>
      <c r="E490" s="15">
        <v>0</v>
      </c>
      <c r="F490" s="15">
        <v>0</v>
      </c>
      <c r="G490" s="15">
        <v>0</v>
      </c>
      <c r="H490" s="15">
        <v>27725</v>
      </c>
      <c r="I490" s="15">
        <v>32225</v>
      </c>
    </row>
    <row r="491" spans="2:9" x14ac:dyDescent="0.3">
      <c r="B491" s="14" t="s">
        <v>20</v>
      </c>
      <c r="C491" s="15">
        <v>0</v>
      </c>
      <c r="D491" s="15">
        <v>0</v>
      </c>
      <c r="E491" s="15">
        <v>0</v>
      </c>
      <c r="F491" s="15">
        <v>0</v>
      </c>
      <c r="G491" s="15">
        <v>0</v>
      </c>
      <c r="H491" s="15">
        <v>616496125</v>
      </c>
      <c r="I491" s="15">
        <v>638921875</v>
      </c>
    </row>
    <row r="492" spans="2:9" x14ac:dyDescent="0.3">
      <c r="B492" s="14" t="s">
        <v>21</v>
      </c>
      <c r="C492" s="15">
        <v>0</v>
      </c>
      <c r="D492" s="15">
        <v>0</v>
      </c>
      <c r="E492" s="15">
        <v>0</v>
      </c>
      <c r="F492" s="15">
        <v>0</v>
      </c>
      <c r="G492" s="15">
        <v>0</v>
      </c>
      <c r="H492" s="15">
        <v>0</v>
      </c>
      <c r="I492" s="15">
        <v>20000</v>
      </c>
    </row>
    <row r="493" spans="2:9" x14ac:dyDescent="0.3">
      <c r="B493" s="14" t="s">
        <v>22</v>
      </c>
      <c r="C493" s="15">
        <v>0</v>
      </c>
      <c r="D493" s="15">
        <v>0</v>
      </c>
      <c r="E493" s="15">
        <v>0</v>
      </c>
      <c r="F493" s="15">
        <v>0</v>
      </c>
      <c r="G493" s="15">
        <v>0</v>
      </c>
      <c r="H493" s="15">
        <v>680000</v>
      </c>
      <c r="I493" s="15">
        <v>1150000</v>
      </c>
    </row>
    <row r="494" spans="2:9" x14ac:dyDescent="0.3">
      <c r="B494" s="14" t="s">
        <v>23</v>
      </c>
      <c r="C494" s="15">
        <v>0</v>
      </c>
      <c r="D494" s="15">
        <v>0</v>
      </c>
      <c r="E494" s="15">
        <v>0</v>
      </c>
      <c r="F494" s="15">
        <v>0</v>
      </c>
      <c r="G494" s="15">
        <v>0</v>
      </c>
      <c r="H494" s="15">
        <v>500</v>
      </c>
      <c r="I494" s="15">
        <v>500</v>
      </c>
    </row>
    <row r="495" spans="2:9" x14ac:dyDescent="0.3">
      <c r="B495" s="14" t="s">
        <v>24</v>
      </c>
      <c r="C495" s="15">
        <v>0</v>
      </c>
      <c r="D495" s="15">
        <v>0</v>
      </c>
      <c r="E495" s="15">
        <v>0</v>
      </c>
      <c r="F495" s="15">
        <v>0</v>
      </c>
      <c r="G495" s="15">
        <v>0</v>
      </c>
      <c r="H495" s="15">
        <v>39800</v>
      </c>
      <c r="I495" s="15">
        <v>36000</v>
      </c>
    </row>
    <row r="496" spans="2:9" x14ac:dyDescent="0.3">
      <c r="B496" s="14" t="s">
        <v>25</v>
      </c>
      <c r="C496" s="15">
        <v>0</v>
      </c>
      <c r="D496" s="15">
        <v>0</v>
      </c>
      <c r="E496" s="15">
        <v>0</v>
      </c>
      <c r="F496" s="15">
        <v>0</v>
      </c>
      <c r="G496" s="15">
        <v>0</v>
      </c>
      <c r="H496" s="15">
        <v>165500</v>
      </c>
      <c r="I496" s="15">
        <v>170000</v>
      </c>
    </row>
    <row r="497" spans="2:9" x14ac:dyDescent="0.3">
      <c r="B497" s="14" t="s">
        <v>33</v>
      </c>
      <c r="C497" s="15">
        <v>0</v>
      </c>
      <c r="D497" s="15">
        <v>0</v>
      </c>
      <c r="E497" s="15">
        <v>0</v>
      </c>
      <c r="F497" s="15">
        <v>0</v>
      </c>
      <c r="G497" s="15">
        <v>0</v>
      </c>
      <c r="H497" s="15">
        <v>20000</v>
      </c>
      <c r="I497" s="15">
        <v>0</v>
      </c>
    </row>
    <row r="498" spans="2:9" x14ac:dyDescent="0.3">
      <c r="B498" s="14" t="s">
        <v>27</v>
      </c>
      <c r="C498" s="15">
        <v>0</v>
      </c>
      <c r="D498" s="15">
        <v>0</v>
      </c>
      <c r="E498" s="15">
        <v>0</v>
      </c>
      <c r="F498" s="15">
        <v>0</v>
      </c>
      <c r="G498" s="15">
        <v>0</v>
      </c>
      <c r="H498" s="15">
        <v>363000</v>
      </c>
      <c r="I498" s="15">
        <v>349000</v>
      </c>
    </row>
    <row r="499" spans="2:9" x14ac:dyDescent="0.3">
      <c r="B499" s="14" t="s">
        <v>28</v>
      </c>
      <c r="C499" s="15">
        <v>0</v>
      </c>
      <c r="D499" s="15">
        <v>0</v>
      </c>
      <c r="E499" s="15">
        <v>0</v>
      </c>
      <c r="F499" s="15">
        <v>0</v>
      </c>
      <c r="G499" s="15">
        <v>0</v>
      </c>
      <c r="H499" s="15">
        <v>417200</v>
      </c>
      <c r="I499" s="15">
        <v>409000</v>
      </c>
    </row>
    <row r="500" spans="2:9" ht="15.6" x14ac:dyDescent="0.3">
      <c r="B500" s="16" t="s">
        <v>29</v>
      </c>
      <c r="C500" s="16"/>
      <c r="D500" s="17">
        <f>SUM(D482:D499)</f>
        <v>0</v>
      </c>
      <c r="E500" s="18"/>
      <c r="F500" s="17">
        <f>SUM(F482:F499)</f>
        <v>0</v>
      </c>
      <c r="G500" s="17">
        <f>SUM(G482:G499)</f>
        <v>0</v>
      </c>
      <c r="H500" s="19"/>
      <c r="I500" s="19"/>
    </row>
    <row r="502" spans="2:9" ht="15.6" x14ac:dyDescent="0.3">
      <c r="B502" s="13" t="s">
        <v>63</v>
      </c>
      <c r="C502" s="13"/>
      <c r="D502" s="13"/>
    </row>
    <row r="503" spans="2:9" x14ac:dyDescent="0.3">
      <c r="B503" s="14" t="s">
        <v>12</v>
      </c>
      <c r="C503" s="15">
        <v>500</v>
      </c>
      <c r="D503" s="15">
        <v>113200</v>
      </c>
      <c r="E503" s="15">
        <v>400</v>
      </c>
      <c r="F503" s="15">
        <v>97700</v>
      </c>
      <c r="G503" s="15">
        <v>0</v>
      </c>
      <c r="H503" s="15">
        <v>0</v>
      </c>
      <c r="I503" s="15">
        <v>400</v>
      </c>
    </row>
    <row r="504" spans="2:9" x14ac:dyDescent="0.3">
      <c r="B504" s="14" t="s">
        <v>14</v>
      </c>
      <c r="C504" s="15">
        <v>515</v>
      </c>
      <c r="D504" s="15">
        <v>98800</v>
      </c>
      <c r="E504" s="15">
        <v>635</v>
      </c>
      <c r="F504" s="15">
        <v>76970</v>
      </c>
      <c r="G504" s="15">
        <v>59060</v>
      </c>
      <c r="H504" s="15">
        <v>0</v>
      </c>
      <c r="I504" s="15">
        <v>0</v>
      </c>
    </row>
    <row r="505" spans="2:9" x14ac:dyDescent="0.3">
      <c r="B505" s="14" t="s">
        <v>15</v>
      </c>
      <c r="C505" s="15">
        <v>1050</v>
      </c>
      <c r="D505" s="15">
        <v>262290</v>
      </c>
      <c r="E505" s="15">
        <v>770</v>
      </c>
      <c r="F505" s="15">
        <v>208590</v>
      </c>
      <c r="G505" s="15">
        <v>0</v>
      </c>
      <c r="H505" s="15">
        <v>500</v>
      </c>
      <c r="I505" s="15">
        <v>800</v>
      </c>
    </row>
    <row r="506" spans="2:9" x14ac:dyDescent="0.3">
      <c r="B506" s="14" t="s">
        <v>16</v>
      </c>
      <c r="C506" s="15">
        <v>1590</v>
      </c>
      <c r="D506" s="15">
        <v>657595</v>
      </c>
      <c r="E506" s="15">
        <v>4290</v>
      </c>
      <c r="F506" s="15">
        <v>0</v>
      </c>
      <c r="G506" s="15">
        <v>1813940</v>
      </c>
      <c r="H506" s="15">
        <v>1000</v>
      </c>
      <c r="I506" s="15">
        <v>3000</v>
      </c>
    </row>
    <row r="507" spans="2:9" x14ac:dyDescent="0.3">
      <c r="B507" s="14" t="s">
        <v>32</v>
      </c>
      <c r="C507" s="15">
        <v>200</v>
      </c>
      <c r="D507" s="15">
        <v>9210</v>
      </c>
      <c r="E507" s="15">
        <v>200</v>
      </c>
      <c r="F507" s="15">
        <v>12030</v>
      </c>
      <c r="G507" s="15">
        <v>0</v>
      </c>
      <c r="H507" s="15">
        <v>0</v>
      </c>
      <c r="I507" s="15">
        <v>0</v>
      </c>
    </row>
    <row r="508" spans="2:9" x14ac:dyDescent="0.3">
      <c r="B508" s="14" t="s">
        <v>17</v>
      </c>
      <c r="C508" s="15">
        <v>200</v>
      </c>
      <c r="D508" s="15">
        <v>2830</v>
      </c>
      <c r="E508" s="15">
        <v>87200</v>
      </c>
      <c r="F508" s="15">
        <v>1462593</v>
      </c>
      <c r="G508" s="15">
        <v>118184</v>
      </c>
      <c r="H508" s="15">
        <v>0</v>
      </c>
      <c r="I508" s="15">
        <v>80000</v>
      </c>
    </row>
    <row r="509" spans="2:9" x14ac:dyDescent="0.3">
      <c r="B509" s="14" t="s">
        <v>18</v>
      </c>
      <c r="C509" s="15">
        <v>78559</v>
      </c>
      <c r="D509" s="15">
        <v>30594019</v>
      </c>
      <c r="E509" s="15">
        <v>77188</v>
      </c>
      <c r="F509" s="15">
        <v>23060921</v>
      </c>
      <c r="G509" s="15">
        <v>7700118</v>
      </c>
      <c r="H509" s="15">
        <v>29000</v>
      </c>
      <c r="I509" s="15">
        <v>34940</v>
      </c>
    </row>
    <row r="510" spans="2:9" x14ac:dyDescent="0.3">
      <c r="B510" s="14" t="s">
        <v>19</v>
      </c>
      <c r="C510" s="15">
        <v>12220</v>
      </c>
      <c r="D510" s="15">
        <v>5609085</v>
      </c>
      <c r="E510" s="15">
        <v>830</v>
      </c>
      <c r="F510" s="15">
        <v>200050</v>
      </c>
      <c r="G510" s="15">
        <v>193885</v>
      </c>
      <c r="H510" s="15">
        <v>11000</v>
      </c>
      <c r="I510" s="15">
        <v>0</v>
      </c>
    </row>
    <row r="511" spans="2:9" x14ac:dyDescent="0.3">
      <c r="B511" s="14" t="s">
        <v>20</v>
      </c>
      <c r="C511" s="15">
        <v>0</v>
      </c>
      <c r="D511" s="15">
        <v>0</v>
      </c>
      <c r="E511" s="15">
        <v>0</v>
      </c>
      <c r="F511" s="15">
        <v>0</v>
      </c>
      <c r="G511" s="15">
        <v>0</v>
      </c>
      <c r="H511" s="15">
        <v>13600000</v>
      </c>
      <c r="I511" s="15">
        <v>22747720</v>
      </c>
    </row>
    <row r="512" spans="2:9" x14ac:dyDescent="0.3">
      <c r="B512" s="14" t="s">
        <v>24</v>
      </c>
      <c r="C512" s="15">
        <v>430</v>
      </c>
      <c r="D512" s="15">
        <v>36475</v>
      </c>
      <c r="E512" s="15">
        <v>5940</v>
      </c>
      <c r="F512" s="15">
        <v>388548</v>
      </c>
      <c r="G512" s="15">
        <v>192944</v>
      </c>
      <c r="H512" s="15">
        <v>0</v>
      </c>
      <c r="I512" s="15">
        <v>3700</v>
      </c>
    </row>
    <row r="513" spans="2:9" x14ac:dyDescent="0.3">
      <c r="B513" s="14" t="s">
        <v>25</v>
      </c>
      <c r="C513" s="15">
        <v>5714</v>
      </c>
      <c r="D513" s="15">
        <v>421136</v>
      </c>
      <c r="E513" s="15">
        <v>27454</v>
      </c>
      <c r="F513" s="15">
        <v>1227290</v>
      </c>
      <c r="G513" s="15">
        <v>1120339</v>
      </c>
      <c r="H513" s="15">
        <v>0</v>
      </c>
      <c r="I513" s="15">
        <v>19000</v>
      </c>
    </row>
    <row r="514" spans="2:9" x14ac:dyDescent="0.3">
      <c r="B514" s="14" t="s">
        <v>26</v>
      </c>
      <c r="C514" s="15">
        <v>5180</v>
      </c>
      <c r="D514" s="15">
        <v>15540</v>
      </c>
      <c r="E514" s="15">
        <v>0</v>
      </c>
      <c r="F514" s="15">
        <v>0</v>
      </c>
      <c r="G514" s="15">
        <v>0</v>
      </c>
      <c r="H514" s="15">
        <v>0</v>
      </c>
      <c r="I514" s="15">
        <v>0</v>
      </c>
    </row>
    <row r="515" spans="2:9" x14ac:dyDescent="0.3">
      <c r="B515" s="14" t="s">
        <v>27</v>
      </c>
      <c r="C515" s="15">
        <v>940</v>
      </c>
      <c r="D515" s="15">
        <v>9210</v>
      </c>
      <c r="E515" s="15">
        <v>31740</v>
      </c>
      <c r="F515" s="15">
        <v>322085</v>
      </c>
      <c r="G515" s="15">
        <v>163990</v>
      </c>
      <c r="H515" s="15">
        <v>0</v>
      </c>
      <c r="I515" s="15">
        <v>25000</v>
      </c>
    </row>
    <row r="516" spans="2:9" x14ac:dyDescent="0.3">
      <c r="B516" s="14" t="s">
        <v>28</v>
      </c>
      <c r="C516" s="15">
        <v>3540</v>
      </c>
      <c r="D516" s="15">
        <v>1234720</v>
      </c>
      <c r="E516" s="15">
        <v>7919</v>
      </c>
      <c r="F516" s="15">
        <v>2068213</v>
      </c>
      <c r="G516" s="15">
        <v>771080</v>
      </c>
      <c r="H516" s="15">
        <v>3500</v>
      </c>
      <c r="I516" s="15">
        <v>8900</v>
      </c>
    </row>
    <row r="517" spans="2:9" ht="15.6" x14ac:dyDescent="0.3">
      <c r="B517" s="16" t="s">
        <v>29</v>
      </c>
      <c r="C517" s="16"/>
      <c r="D517" s="17">
        <f>SUM(D503:D516)</f>
        <v>39064110</v>
      </c>
      <c r="E517" s="18"/>
      <c r="F517" s="17">
        <f>SUM(F503:F516)</f>
        <v>29124990</v>
      </c>
      <c r="G517" s="17">
        <f>SUM(G503:G516)</f>
        <v>12133540</v>
      </c>
      <c r="H517" s="19"/>
      <c r="I517" s="19"/>
    </row>
    <row r="519" spans="2:9" ht="15.6" x14ac:dyDescent="0.3">
      <c r="B519" s="13" t="s">
        <v>64</v>
      </c>
      <c r="C519" s="13"/>
      <c r="D519" s="13"/>
    </row>
    <row r="520" spans="2:9" x14ac:dyDescent="0.3">
      <c r="B520" s="14" t="s">
        <v>13</v>
      </c>
      <c r="C520" s="15">
        <v>0</v>
      </c>
      <c r="D520" s="15">
        <v>0</v>
      </c>
      <c r="E520" s="15">
        <v>100</v>
      </c>
      <c r="F520" s="15">
        <v>22230</v>
      </c>
      <c r="G520" s="15">
        <v>0</v>
      </c>
      <c r="H520" s="15">
        <v>0</v>
      </c>
      <c r="I520" s="15">
        <v>0</v>
      </c>
    </row>
    <row r="521" spans="2:9" x14ac:dyDescent="0.3">
      <c r="B521" s="14" t="s">
        <v>14</v>
      </c>
      <c r="C521" s="15">
        <v>545</v>
      </c>
      <c r="D521" s="15">
        <v>103773</v>
      </c>
      <c r="E521" s="15">
        <v>0</v>
      </c>
      <c r="F521" s="15">
        <v>0</v>
      </c>
      <c r="G521" s="15">
        <v>0</v>
      </c>
      <c r="H521" s="15">
        <v>2000</v>
      </c>
      <c r="I521" s="15">
        <v>0</v>
      </c>
    </row>
    <row r="522" spans="2:9" x14ac:dyDescent="0.3">
      <c r="B522" s="14" t="s">
        <v>16</v>
      </c>
      <c r="C522" s="15">
        <v>3890</v>
      </c>
      <c r="D522" s="15">
        <v>1581987</v>
      </c>
      <c r="E522" s="15">
        <v>600</v>
      </c>
      <c r="F522" s="15">
        <v>255955</v>
      </c>
      <c r="G522" s="15">
        <v>0</v>
      </c>
      <c r="H522" s="15">
        <v>8000</v>
      </c>
      <c r="I522" s="15">
        <v>500</v>
      </c>
    </row>
    <row r="523" spans="2:9" x14ac:dyDescent="0.3">
      <c r="B523" s="14" t="s">
        <v>32</v>
      </c>
      <c r="C523" s="15">
        <v>0</v>
      </c>
      <c r="D523" s="15">
        <v>0</v>
      </c>
      <c r="E523" s="15">
        <v>188</v>
      </c>
      <c r="F523" s="15">
        <v>11310</v>
      </c>
      <c r="G523" s="15">
        <v>0</v>
      </c>
      <c r="H523" s="15">
        <v>0</v>
      </c>
      <c r="I523" s="15">
        <v>0</v>
      </c>
    </row>
    <row r="524" spans="2:9" x14ac:dyDescent="0.3">
      <c r="B524" s="14" t="s">
        <v>17</v>
      </c>
      <c r="C524" s="15">
        <v>900</v>
      </c>
      <c r="D524" s="15">
        <v>12745</v>
      </c>
      <c r="E524" s="15">
        <v>2900</v>
      </c>
      <c r="F524" s="15">
        <v>18170</v>
      </c>
      <c r="G524" s="15">
        <v>34525</v>
      </c>
      <c r="H524" s="15">
        <v>0</v>
      </c>
      <c r="I524" s="15">
        <v>0</v>
      </c>
    </row>
    <row r="525" spans="2:9" x14ac:dyDescent="0.3">
      <c r="B525" s="14" t="s">
        <v>18</v>
      </c>
      <c r="C525" s="15">
        <v>92225</v>
      </c>
      <c r="D525" s="15">
        <v>35562337</v>
      </c>
      <c r="E525" s="15">
        <v>69397</v>
      </c>
      <c r="F525" s="15">
        <v>19159043</v>
      </c>
      <c r="G525" s="15">
        <v>8607571</v>
      </c>
      <c r="H525" s="15">
        <v>44000</v>
      </c>
      <c r="I525" s="15">
        <v>12140</v>
      </c>
    </row>
    <row r="526" spans="2:9" x14ac:dyDescent="0.3">
      <c r="B526" s="14" t="s">
        <v>19</v>
      </c>
      <c r="C526" s="15">
        <v>1220</v>
      </c>
      <c r="D526" s="15">
        <v>559090</v>
      </c>
      <c r="E526" s="15">
        <v>3250</v>
      </c>
      <c r="F526" s="15">
        <v>1413366</v>
      </c>
      <c r="G526" s="15">
        <v>137859</v>
      </c>
      <c r="H526" s="15">
        <v>0</v>
      </c>
      <c r="I526" s="15">
        <v>3000</v>
      </c>
    </row>
    <row r="527" spans="2:9" x14ac:dyDescent="0.3">
      <c r="B527" s="14" t="s">
        <v>20</v>
      </c>
      <c r="C527" s="15">
        <v>0</v>
      </c>
      <c r="D527" s="15">
        <v>0</v>
      </c>
      <c r="E527" s="15">
        <v>0</v>
      </c>
      <c r="F527" s="15">
        <v>0</v>
      </c>
      <c r="G527" s="15">
        <v>0</v>
      </c>
      <c r="H527" s="15">
        <v>6200000</v>
      </c>
      <c r="I527" s="15">
        <v>25569380</v>
      </c>
    </row>
    <row r="528" spans="2:9" x14ac:dyDescent="0.3">
      <c r="B528" s="14" t="s">
        <v>22</v>
      </c>
      <c r="C528" s="15">
        <v>0</v>
      </c>
      <c r="D528" s="15">
        <v>0</v>
      </c>
      <c r="E528" s="15">
        <v>135000</v>
      </c>
      <c r="F528" s="15">
        <v>355995</v>
      </c>
      <c r="G528" s="15">
        <v>0</v>
      </c>
      <c r="H528" s="15">
        <v>0</v>
      </c>
      <c r="I528" s="15">
        <v>135000</v>
      </c>
    </row>
    <row r="529" spans="2:9" x14ac:dyDescent="0.3">
      <c r="B529" s="14" t="s">
        <v>24</v>
      </c>
      <c r="C529" s="15">
        <v>4500</v>
      </c>
      <c r="D529" s="15">
        <v>381590</v>
      </c>
      <c r="E529" s="15">
        <v>4700</v>
      </c>
      <c r="F529" s="15">
        <v>450675</v>
      </c>
      <c r="G529" s="15">
        <v>9760</v>
      </c>
      <c r="H529" s="15">
        <v>0</v>
      </c>
      <c r="I529" s="15">
        <v>0</v>
      </c>
    </row>
    <row r="530" spans="2:9" x14ac:dyDescent="0.3">
      <c r="B530" s="14" t="s">
        <v>25</v>
      </c>
      <c r="C530" s="15">
        <v>4231</v>
      </c>
      <c r="D530" s="15">
        <v>311677</v>
      </c>
      <c r="E530" s="15">
        <v>44271</v>
      </c>
      <c r="F530" s="15">
        <v>3145833</v>
      </c>
      <c r="G530" s="15">
        <v>641180</v>
      </c>
      <c r="H530" s="15">
        <v>0</v>
      </c>
      <c r="I530" s="15">
        <v>46000</v>
      </c>
    </row>
    <row r="531" spans="2:9" x14ac:dyDescent="0.3">
      <c r="B531" s="14" t="s">
        <v>26</v>
      </c>
      <c r="C531" s="15">
        <v>1560</v>
      </c>
      <c r="D531" s="15">
        <v>4680</v>
      </c>
      <c r="E531" s="15">
        <v>23900</v>
      </c>
      <c r="F531" s="15">
        <v>67600</v>
      </c>
      <c r="G531" s="15">
        <v>28000</v>
      </c>
      <c r="H531" s="15">
        <v>0</v>
      </c>
      <c r="I531" s="15">
        <v>0</v>
      </c>
    </row>
    <row r="532" spans="2:9" x14ac:dyDescent="0.3">
      <c r="B532" s="14" t="s">
        <v>33</v>
      </c>
      <c r="C532" s="15">
        <v>3000</v>
      </c>
      <c r="D532" s="15">
        <v>6000</v>
      </c>
      <c r="E532" s="15">
        <v>0</v>
      </c>
      <c r="F532" s="15">
        <v>0</v>
      </c>
      <c r="G532" s="15">
        <v>0</v>
      </c>
      <c r="H532" s="15">
        <v>0</v>
      </c>
      <c r="I532" s="15">
        <v>0</v>
      </c>
    </row>
    <row r="533" spans="2:9" x14ac:dyDescent="0.3">
      <c r="B533" s="14" t="s">
        <v>27</v>
      </c>
      <c r="C533" s="15">
        <v>2185</v>
      </c>
      <c r="D533" s="15">
        <v>21411</v>
      </c>
      <c r="E533" s="15">
        <v>12980</v>
      </c>
      <c r="F533" s="15">
        <v>153782</v>
      </c>
      <c r="G533" s="15">
        <v>0</v>
      </c>
      <c r="H533" s="15">
        <v>0</v>
      </c>
      <c r="I533" s="15">
        <v>5000</v>
      </c>
    </row>
    <row r="534" spans="2:9" x14ac:dyDescent="0.3">
      <c r="B534" s="14" t="s">
        <v>28</v>
      </c>
      <c r="C534" s="15">
        <v>7496</v>
      </c>
      <c r="D534" s="15">
        <v>2587570</v>
      </c>
      <c r="E534" s="15">
        <v>7943</v>
      </c>
      <c r="F534" s="15">
        <v>1999466</v>
      </c>
      <c r="G534" s="15">
        <v>870760</v>
      </c>
      <c r="H534" s="15">
        <v>4000</v>
      </c>
      <c r="I534" s="15">
        <v>3980</v>
      </c>
    </row>
    <row r="535" spans="2:9" ht="15.6" x14ac:dyDescent="0.3">
      <c r="B535" s="16" t="s">
        <v>29</v>
      </c>
      <c r="C535" s="16"/>
      <c r="D535" s="17">
        <f>SUM(D520:D534)</f>
        <v>41132860</v>
      </c>
      <c r="E535" s="18"/>
      <c r="F535" s="17">
        <f>SUM(F520:F534)</f>
        <v>27053425</v>
      </c>
      <c r="G535" s="17">
        <f>SUM(G520:G534)</f>
        <v>10329655</v>
      </c>
      <c r="H535" s="19"/>
      <c r="I535" s="19"/>
    </row>
    <row r="537" spans="2:9" ht="15.6" x14ac:dyDescent="0.3">
      <c r="B537" s="13" t="s">
        <v>65</v>
      </c>
      <c r="C537" s="13"/>
      <c r="D537" s="13"/>
    </row>
    <row r="538" spans="2:9" x14ac:dyDescent="0.3">
      <c r="B538" s="14" t="s">
        <v>14</v>
      </c>
      <c r="C538" s="15">
        <v>720</v>
      </c>
      <c r="D538" s="15">
        <v>137712</v>
      </c>
      <c r="E538" s="15">
        <v>1535</v>
      </c>
      <c r="F538" s="15">
        <v>251142</v>
      </c>
      <c r="G538" s="15">
        <v>76862</v>
      </c>
      <c r="H538" s="15">
        <v>0</v>
      </c>
      <c r="I538" s="15">
        <v>0</v>
      </c>
    </row>
    <row r="539" spans="2:9" x14ac:dyDescent="0.3">
      <c r="B539" s="14" t="s">
        <v>52</v>
      </c>
      <c r="C539" s="15">
        <v>0</v>
      </c>
      <c r="D539" s="15">
        <v>0</v>
      </c>
      <c r="E539" s="15">
        <v>250</v>
      </c>
      <c r="F539" s="15">
        <v>0</v>
      </c>
      <c r="G539" s="15">
        <v>21000</v>
      </c>
      <c r="H539" s="15">
        <v>0</v>
      </c>
      <c r="I539" s="15">
        <v>0</v>
      </c>
    </row>
    <row r="540" spans="2:9" x14ac:dyDescent="0.3">
      <c r="B540" s="14" t="s">
        <v>15</v>
      </c>
      <c r="C540" s="15">
        <v>890</v>
      </c>
      <c r="D540" s="15">
        <v>221791</v>
      </c>
      <c r="E540" s="15">
        <v>390</v>
      </c>
      <c r="F540" s="15">
        <v>105775</v>
      </c>
      <c r="G540" s="15">
        <v>0</v>
      </c>
      <c r="H540" s="15">
        <v>600</v>
      </c>
      <c r="I540" s="15">
        <v>600</v>
      </c>
    </row>
    <row r="541" spans="2:9" x14ac:dyDescent="0.3">
      <c r="B541" s="14" t="s">
        <v>16</v>
      </c>
      <c r="C541" s="15">
        <v>16900</v>
      </c>
      <c r="D541" s="15">
        <v>6894064</v>
      </c>
      <c r="E541" s="15">
        <v>890</v>
      </c>
      <c r="F541" s="15">
        <v>354188</v>
      </c>
      <c r="G541" s="15">
        <v>30240</v>
      </c>
      <c r="H541" s="15">
        <v>19800</v>
      </c>
      <c r="I541" s="15">
        <v>0</v>
      </c>
    </row>
    <row r="542" spans="2:9" x14ac:dyDescent="0.3">
      <c r="B542" s="14" t="s">
        <v>32</v>
      </c>
      <c r="C542" s="15">
        <v>0</v>
      </c>
      <c r="D542" s="15">
        <v>0</v>
      </c>
      <c r="E542" s="15">
        <v>516</v>
      </c>
      <c r="F542" s="15">
        <v>30940</v>
      </c>
      <c r="G542" s="15">
        <v>0</v>
      </c>
      <c r="H542" s="15">
        <v>0</v>
      </c>
      <c r="I542" s="15">
        <v>390</v>
      </c>
    </row>
    <row r="543" spans="2:9" x14ac:dyDescent="0.3">
      <c r="B543" s="14" t="s">
        <v>17</v>
      </c>
      <c r="C543" s="15">
        <v>4700</v>
      </c>
      <c r="D543" s="15">
        <v>66959</v>
      </c>
      <c r="E543" s="15">
        <v>21200</v>
      </c>
      <c r="F543" s="15">
        <v>227495</v>
      </c>
      <c r="G543" s="15">
        <v>145230</v>
      </c>
      <c r="H543" s="15">
        <v>0</v>
      </c>
      <c r="I543" s="15">
        <v>15000</v>
      </c>
    </row>
    <row r="544" spans="2:9" x14ac:dyDescent="0.3">
      <c r="B544" s="14" t="s">
        <v>18</v>
      </c>
      <c r="C544" s="15">
        <v>219276</v>
      </c>
      <c r="D544" s="15">
        <v>84169232</v>
      </c>
      <c r="E544" s="15">
        <v>196155</v>
      </c>
      <c r="F544" s="15">
        <v>62614512</v>
      </c>
      <c r="G544" s="15">
        <v>15918453</v>
      </c>
      <c r="H544" s="15">
        <v>71500</v>
      </c>
      <c r="I544" s="15">
        <v>35260</v>
      </c>
    </row>
    <row r="545" spans="2:9" x14ac:dyDescent="0.3">
      <c r="B545" s="14" t="s">
        <v>19</v>
      </c>
      <c r="C545" s="15">
        <v>5350</v>
      </c>
      <c r="D545" s="15">
        <v>2456934</v>
      </c>
      <c r="E545" s="15">
        <v>7835</v>
      </c>
      <c r="F545" s="15">
        <v>2378031</v>
      </c>
      <c r="G545" s="15">
        <v>1370105</v>
      </c>
      <c r="H545" s="15">
        <v>1500</v>
      </c>
      <c r="I545" s="15">
        <v>4300</v>
      </c>
    </row>
    <row r="546" spans="2:9" x14ac:dyDescent="0.3">
      <c r="B546" s="14" t="s">
        <v>20</v>
      </c>
      <c r="C546" s="15">
        <v>0</v>
      </c>
      <c r="D546" s="15">
        <v>0</v>
      </c>
      <c r="E546" s="15">
        <v>0</v>
      </c>
      <c r="F546" s="15">
        <v>0</v>
      </c>
      <c r="G546" s="15">
        <v>0</v>
      </c>
      <c r="H546" s="15">
        <v>11500000</v>
      </c>
      <c r="I546" s="15">
        <v>50507580</v>
      </c>
    </row>
    <row r="547" spans="2:9" x14ac:dyDescent="0.3">
      <c r="B547" s="14" t="s">
        <v>24</v>
      </c>
      <c r="C547" s="15">
        <v>4150</v>
      </c>
      <c r="D547" s="15">
        <v>352082</v>
      </c>
      <c r="E547" s="15">
        <v>15650</v>
      </c>
      <c r="F547" s="15">
        <v>1038715</v>
      </c>
      <c r="G547" s="15">
        <v>492852</v>
      </c>
      <c r="H547" s="15">
        <v>0</v>
      </c>
      <c r="I547" s="15">
        <v>8000</v>
      </c>
    </row>
    <row r="548" spans="2:9" x14ac:dyDescent="0.3">
      <c r="B548" s="14" t="s">
        <v>25</v>
      </c>
      <c r="C548" s="15">
        <v>59168</v>
      </c>
      <c r="D548" s="15">
        <v>4395741</v>
      </c>
      <c r="E548" s="15">
        <v>81405</v>
      </c>
      <c r="F548" s="15">
        <v>5193504</v>
      </c>
      <c r="G548" s="15">
        <v>1770388</v>
      </c>
      <c r="H548" s="15">
        <v>21650</v>
      </c>
      <c r="I548" s="15">
        <v>47000</v>
      </c>
    </row>
    <row r="549" spans="2:9" x14ac:dyDescent="0.3">
      <c r="B549" s="14" t="s">
        <v>26</v>
      </c>
      <c r="C549" s="15">
        <v>3460</v>
      </c>
      <c r="D549" s="15">
        <v>10380</v>
      </c>
      <c r="E549" s="15">
        <v>2450</v>
      </c>
      <c r="F549" s="15">
        <v>9040</v>
      </c>
      <c r="G549" s="15">
        <v>0</v>
      </c>
      <c r="H549" s="15">
        <v>0</v>
      </c>
      <c r="I549" s="15">
        <v>0</v>
      </c>
    </row>
    <row r="550" spans="2:9" x14ac:dyDescent="0.3">
      <c r="B550" s="14" t="s">
        <v>27</v>
      </c>
      <c r="C550" s="15">
        <v>15980</v>
      </c>
      <c r="D550" s="15">
        <v>157609</v>
      </c>
      <c r="E550" s="15">
        <v>53195</v>
      </c>
      <c r="F550" s="15">
        <v>611138</v>
      </c>
      <c r="G550" s="15">
        <v>161675</v>
      </c>
      <c r="H550" s="15">
        <v>10000</v>
      </c>
      <c r="I550" s="15">
        <v>46650</v>
      </c>
    </row>
    <row r="551" spans="2:9" x14ac:dyDescent="0.3">
      <c r="B551" s="14" t="s">
        <v>28</v>
      </c>
      <c r="C551" s="15">
        <v>35622</v>
      </c>
      <c r="D551" s="15">
        <v>12320956</v>
      </c>
      <c r="E551" s="15">
        <v>25941</v>
      </c>
      <c r="F551" s="15">
        <v>7586680</v>
      </c>
      <c r="G551" s="15">
        <v>1798900</v>
      </c>
      <c r="H551" s="15">
        <v>16100</v>
      </c>
      <c r="I551" s="15">
        <v>3870</v>
      </c>
    </row>
    <row r="552" spans="2:9" ht="15.6" x14ac:dyDescent="0.3">
      <c r="B552" s="16" t="s">
        <v>29</v>
      </c>
      <c r="C552" s="16"/>
      <c r="D552" s="17">
        <f>SUM(D538:D551)</f>
        <v>111183460</v>
      </c>
      <c r="E552" s="18"/>
      <c r="F552" s="17">
        <f>SUM(F538:F551)</f>
        <v>80401160</v>
      </c>
      <c r="G552" s="17">
        <f>SUM(G538:G551)</f>
        <v>21785705</v>
      </c>
      <c r="H552" s="19"/>
      <c r="I552" s="19"/>
    </row>
    <row r="554" spans="2:9" ht="15.6" x14ac:dyDescent="0.3">
      <c r="B554" s="13" t="s">
        <v>66</v>
      </c>
      <c r="C554" s="13"/>
      <c r="D554" s="13"/>
    </row>
    <row r="555" spans="2:9" x14ac:dyDescent="0.3">
      <c r="B555" s="14" t="s">
        <v>14</v>
      </c>
      <c r="C555" s="15">
        <v>30</v>
      </c>
      <c r="D555" s="15">
        <v>5730</v>
      </c>
      <c r="E555" s="15">
        <v>1020</v>
      </c>
      <c r="F555" s="15">
        <v>99330</v>
      </c>
      <c r="G555" s="15">
        <v>118555</v>
      </c>
      <c r="H555" s="15">
        <v>0</v>
      </c>
      <c r="I555" s="15">
        <v>1000</v>
      </c>
    </row>
    <row r="556" spans="2:9" x14ac:dyDescent="0.3">
      <c r="B556" s="14" t="s">
        <v>16</v>
      </c>
      <c r="C556" s="15">
        <v>11920</v>
      </c>
      <c r="D556" s="15">
        <v>4898655</v>
      </c>
      <c r="E556" s="15">
        <v>210</v>
      </c>
      <c r="F556" s="15">
        <v>89880</v>
      </c>
      <c r="G556" s="15">
        <v>0</v>
      </c>
      <c r="H556" s="15">
        <v>12000</v>
      </c>
      <c r="I556" s="15">
        <v>0</v>
      </c>
    </row>
    <row r="557" spans="2:9" x14ac:dyDescent="0.3">
      <c r="B557" s="14" t="s">
        <v>17</v>
      </c>
      <c r="C557" s="15">
        <v>5000</v>
      </c>
      <c r="D557" s="15">
        <v>71250</v>
      </c>
      <c r="E557" s="15">
        <v>0</v>
      </c>
      <c r="F557" s="15">
        <v>0</v>
      </c>
      <c r="G557" s="15">
        <v>0</v>
      </c>
      <c r="H557" s="15">
        <v>0</v>
      </c>
      <c r="I557" s="15">
        <v>0</v>
      </c>
    </row>
    <row r="558" spans="2:9" x14ac:dyDescent="0.3">
      <c r="B558" s="14" t="s">
        <v>18</v>
      </c>
      <c r="C558" s="15">
        <v>35434</v>
      </c>
      <c r="D558" s="15">
        <v>13719975</v>
      </c>
      <c r="E558" s="15">
        <v>15558</v>
      </c>
      <c r="F558" s="15">
        <v>812960</v>
      </c>
      <c r="G558" s="15">
        <v>5447474</v>
      </c>
      <c r="H558" s="15">
        <v>24000</v>
      </c>
      <c r="I558" s="15">
        <v>8070</v>
      </c>
    </row>
    <row r="559" spans="2:9" x14ac:dyDescent="0.3">
      <c r="B559" s="14" t="s">
        <v>19</v>
      </c>
      <c r="C559" s="15">
        <v>465</v>
      </c>
      <c r="D559" s="15">
        <v>212895</v>
      </c>
      <c r="E559" s="15">
        <v>415</v>
      </c>
      <c r="F559" s="15">
        <v>198990</v>
      </c>
      <c r="G559" s="15">
        <v>0</v>
      </c>
      <c r="H559" s="15">
        <v>0</v>
      </c>
      <c r="I559" s="15">
        <v>0</v>
      </c>
    </row>
    <row r="560" spans="2:9" x14ac:dyDescent="0.3">
      <c r="B560" s="14" t="s">
        <v>20</v>
      </c>
      <c r="C560" s="15">
        <v>0</v>
      </c>
      <c r="D560" s="15">
        <v>0</v>
      </c>
      <c r="E560" s="15">
        <v>0</v>
      </c>
      <c r="F560" s="15">
        <v>0</v>
      </c>
      <c r="G560" s="15">
        <v>0</v>
      </c>
      <c r="H560" s="15">
        <v>0</v>
      </c>
      <c r="I560" s="15">
        <v>17696280</v>
      </c>
    </row>
    <row r="561" spans="2:9" x14ac:dyDescent="0.3">
      <c r="B561" s="14" t="s">
        <v>21</v>
      </c>
      <c r="C561" s="15">
        <v>1200</v>
      </c>
      <c r="D561" s="15">
        <v>105600</v>
      </c>
      <c r="E561" s="15">
        <v>0</v>
      </c>
      <c r="F561" s="15">
        <v>0</v>
      </c>
      <c r="G561" s="15">
        <v>0</v>
      </c>
      <c r="H561" s="15">
        <v>0</v>
      </c>
      <c r="I561" s="15">
        <v>0</v>
      </c>
    </row>
    <row r="562" spans="2:9" x14ac:dyDescent="0.3">
      <c r="B562" s="14" t="s">
        <v>40</v>
      </c>
      <c r="C562" s="15">
        <v>20</v>
      </c>
      <c r="D562" s="15">
        <v>322</v>
      </c>
      <c r="E562" s="15">
        <v>0</v>
      </c>
      <c r="F562" s="15">
        <v>0</v>
      </c>
      <c r="G562" s="15">
        <v>0</v>
      </c>
      <c r="H562" s="15">
        <v>0</v>
      </c>
      <c r="I562" s="15">
        <v>0</v>
      </c>
    </row>
    <row r="563" spans="2:9" x14ac:dyDescent="0.3">
      <c r="B563" s="14" t="s">
        <v>24</v>
      </c>
      <c r="C563" s="15">
        <v>10600</v>
      </c>
      <c r="D563" s="15">
        <v>899310</v>
      </c>
      <c r="E563" s="15">
        <v>0</v>
      </c>
      <c r="F563" s="15">
        <v>0</v>
      </c>
      <c r="G563" s="15">
        <v>0</v>
      </c>
      <c r="H563" s="15">
        <v>11000</v>
      </c>
      <c r="I563" s="15">
        <v>0</v>
      </c>
    </row>
    <row r="564" spans="2:9" x14ac:dyDescent="0.3">
      <c r="B564" s="14" t="s">
        <v>25</v>
      </c>
      <c r="C564" s="15">
        <v>10783</v>
      </c>
      <c r="D564" s="15">
        <v>795643</v>
      </c>
      <c r="E564" s="15">
        <v>984</v>
      </c>
      <c r="F564" s="15">
        <v>69525</v>
      </c>
      <c r="G564" s="15">
        <v>14910</v>
      </c>
      <c r="H564" s="15">
        <v>12000</v>
      </c>
      <c r="I564" s="15">
        <v>0</v>
      </c>
    </row>
    <row r="565" spans="2:9" x14ac:dyDescent="0.3">
      <c r="B565" s="14" t="s">
        <v>26</v>
      </c>
      <c r="C565" s="15">
        <v>0</v>
      </c>
      <c r="D565" s="15">
        <v>0</v>
      </c>
      <c r="E565" s="15">
        <v>6000</v>
      </c>
      <c r="F565" s="15">
        <v>14760</v>
      </c>
      <c r="G565" s="15">
        <v>7381</v>
      </c>
      <c r="H565" s="15">
        <v>0</v>
      </c>
      <c r="I565" s="15">
        <v>0</v>
      </c>
    </row>
    <row r="566" spans="2:9" x14ac:dyDescent="0.3">
      <c r="B566" s="14" t="s">
        <v>33</v>
      </c>
      <c r="C566" s="15">
        <v>0</v>
      </c>
      <c r="D566" s="15">
        <v>0</v>
      </c>
      <c r="E566" s="15">
        <v>11000</v>
      </c>
      <c r="F566" s="15">
        <v>52800</v>
      </c>
      <c r="G566" s="15">
        <v>0</v>
      </c>
      <c r="H566" s="15">
        <v>0</v>
      </c>
      <c r="I566" s="15">
        <v>20000</v>
      </c>
    </row>
    <row r="567" spans="2:9" x14ac:dyDescent="0.3">
      <c r="B567" s="14" t="s">
        <v>27</v>
      </c>
      <c r="C567" s="15">
        <v>1420</v>
      </c>
      <c r="D567" s="15">
        <v>13915</v>
      </c>
      <c r="E567" s="15">
        <v>5450</v>
      </c>
      <c r="F567" s="15">
        <v>26650</v>
      </c>
      <c r="G567" s="15">
        <v>49600</v>
      </c>
      <c r="H567" s="15">
        <v>0</v>
      </c>
      <c r="I567" s="15">
        <v>7000</v>
      </c>
    </row>
    <row r="568" spans="2:9" x14ac:dyDescent="0.3">
      <c r="B568" s="14" t="s">
        <v>28</v>
      </c>
      <c r="C568" s="15">
        <v>8000</v>
      </c>
      <c r="D568" s="15">
        <v>2780520</v>
      </c>
      <c r="E568" s="15">
        <v>11184</v>
      </c>
      <c r="F568" s="15">
        <v>4004075</v>
      </c>
      <c r="G568" s="15">
        <v>0</v>
      </c>
      <c r="H568" s="15">
        <v>3000</v>
      </c>
      <c r="I568" s="15">
        <v>6000</v>
      </c>
    </row>
    <row r="569" spans="2:9" ht="15.6" x14ac:dyDescent="0.3">
      <c r="B569" s="16" t="s">
        <v>29</v>
      </c>
      <c r="C569" s="16"/>
      <c r="D569" s="17">
        <f>SUM(D555:D568)</f>
        <v>23503815</v>
      </c>
      <c r="E569" s="18"/>
      <c r="F569" s="17">
        <f>SUM(F555:F568)</f>
        <v>5368970</v>
      </c>
      <c r="G569" s="17">
        <f>SUM(G555:G568)</f>
        <v>5637920</v>
      </c>
      <c r="H569" s="19"/>
      <c r="I569" s="19"/>
    </row>
    <row r="571" spans="2:9" ht="15.6" x14ac:dyDescent="0.3">
      <c r="B571" s="13" t="s">
        <v>67</v>
      </c>
      <c r="C571" s="13"/>
      <c r="D571" s="13"/>
    </row>
    <row r="572" spans="2:9" x14ac:dyDescent="0.3">
      <c r="B572" s="14" t="s">
        <v>12</v>
      </c>
      <c r="C572" s="15">
        <v>0</v>
      </c>
      <c r="D572" s="15">
        <v>0</v>
      </c>
      <c r="E572" s="15">
        <v>100</v>
      </c>
      <c r="F572" s="15">
        <v>24405</v>
      </c>
      <c r="G572" s="15">
        <v>0</v>
      </c>
      <c r="H572" s="15">
        <v>0</v>
      </c>
      <c r="I572" s="15">
        <v>100</v>
      </c>
    </row>
    <row r="573" spans="2:9" x14ac:dyDescent="0.3">
      <c r="B573" s="14" t="s">
        <v>14</v>
      </c>
      <c r="C573" s="15">
        <v>540</v>
      </c>
      <c r="D573" s="15">
        <v>103084</v>
      </c>
      <c r="E573" s="15">
        <v>1775</v>
      </c>
      <c r="F573" s="15">
        <v>167183</v>
      </c>
      <c r="G573" s="15">
        <v>211731</v>
      </c>
      <c r="H573" s="15">
        <v>2000</v>
      </c>
      <c r="I573" s="15">
        <v>2300</v>
      </c>
    </row>
    <row r="574" spans="2:9" x14ac:dyDescent="0.3">
      <c r="B574" s="14" t="s">
        <v>15</v>
      </c>
      <c r="C574" s="15">
        <v>450</v>
      </c>
      <c r="D574" s="15">
        <v>111430</v>
      </c>
      <c r="E574" s="15">
        <v>0</v>
      </c>
      <c r="F574" s="15">
        <v>0</v>
      </c>
      <c r="G574" s="15">
        <v>0</v>
      </c>
      <c r="H574" s="15">
        <v>400</v>
      </c>
      <c r="I574" s="15">
        <v>0</v>
      </c>
    </row>
    <row r="575" spans="2:9" x14ac:dyDescent="0.3">
      <c r="B575" s="14" t="s">
        <v>16</v>
      </c>
      <c r="C575" s="15">
        <v>2790</v>
      </c>
      <c r="D575" s="15">
        <v>1138620</v>
      </c>
      <c r="E575" s="15">
        <v>110</v>
      </c>
      <c r="F575" s="15">
        <v>0</v>
      </c>
      <c r="G575" s="15">
        <v>46970</v>
      </c>
      <c r="H575" s="15">
        <v>3000</v>
      </c>
      <c r="I575" s="15">
        <v>0</v>
      </c>
    </row>
    <row r="576" spans="2:9" x14ac:dyDescent="0.3">
      <c r="B576" s="14" t="s">
        <v>17</v>
      </c>
      <c r="C576" s="15">
        <v>3400</v>
      </c>
      <c r="D576" s="15">
        <v>48164</v>
      </c>
      <c r="E576" s="15">
        <v>2700</v>
      </c>
      <c r="F576" s="15">
        <v>46150</v>
      </c>
      <c r="G576" s="15">
        <v>0</v>
      </c>
      <c r="H576" s="15">
        <v>0</v>
      </c>
      <c r="I576" s="15">
        <v>0</v>
      </c>
    </row>
    <row r="577" spans="2:9" x14ac:dyDescent="0.3">
      <c r="B577" s="14" t="s">
        <v>18</v>
      </c>
      <c r="C577" s="15">
        <v>117895</v>
      </c>
      <c r="D577" s="15">
        <v>45444309</v>
      </c>
      <c r="E577" s="15">
        <v>52080</v>
      </c>
      <c r="F577" s="15">
        <v>17202433</v>
      </c>
      <c r="G577" s="15">
        <v>3649130</v>
      </c>
      <c r="H577" s="15">
        <v>73600</v>
      </c>
      <c r="I577" s="15">
        <v>2070</v>
      </c>
    </row>
    <row r="578" spans="2:9" x14ac:dyDescent="0.3">
      <c r="B578" s="14" t="s">
        <v>19</v>
      </c>
      <c r="C578" s="15">
        <v>3580</v>
      </c>
      <c r="D578" s="15">
        <v>1629575</v>
      </c>
      <c r="E578" s="15">
        <v>2035</v>
      </c>
      <c r="F578" s="15">
        <v>860040</v>
      </c>
      <c r="G578" s="15">
        <v>110070</v>
      </c>
      <c r="H578" s="15">
        <v>2000</v>
      </c>
      <c r="I578" s="15">
        <v>0</v>
      </c>
    </row>
    <row r="579" spans="2:9" x14ac:dyDescent="0.3">
      <c r="B579" s="14" t="s">
        <v>20</v>
      </c>
      <c r="C579" s="15">
        <v>0</v>
      </c>
      <c r="D579" s="15">
        <v>0</v>
      </c>
      <c r="E579" s="15">
        <v>0</v>
      </c>
      <c r="F579" s="15">
        <v>0</v>
      </c>
      <c r="G579" s="15">
        <v>0</v>
      </c>
      <c r="H579" s="15">
        <v>11300000</v>
      </c>
      <c r="I579" s="15">
        <v>44703410</v>
      </c>
    </row>
    <row r="580" spans="2:9" x14ac:dyDescent="0.3">
      <c r="B580" s="14" t="s">
        <v>21</v>
      </c>
      <c r="C580" s="15">
        <v>160</v>
      </c>
      <c r="D580" s="15">
        <v>14080</v>
      </c>
      <c r="E580" s="15">
        <v>0</v>
      </c>
      <c r="F580" s="15">
        <v>0</v>
      </c>
      <c r="G580" s="15">
        <v>0</v>
      </c>
      <c r="H580" s="15">
        <v>0</v>
      </c>
      <c r="I580" s="15">
        <v>0</v>
      </c>
    </row>
    <row r="581" spans="2:9" x14ac:dyDescent="0.3">
      <c r="B581" s="14" t="s">
        <v>24</v>
      </c>
      <c r="C581" s="15">
        <v>190</v>
      </c>
      <c r="D581" s="15">
        <v>16100</v>
      </c>
      <c r="E581" s="15">
        <v>4470</v>
      </c>
      <c r="F581" s="15">
        <v>399220</v>
      </c>
      <c r="G581" s="15">
        <v>39390</v>
      </c>
      <c r="H581" s="15">
        <v>0</v>
      </c>
      <c r="I581" s="15">
        <v>1000</v>
      </c>
    </row>
    <row r="582" spans="2:9" x14ac:dyDescent="0.3">
      <c r="B582" s="14" t="s">
        <v>25</v>
      </c>
      <c r="C582" s="15">
        <v>66049</v>
      </c>
      <c r="D582" s="15">
        <v>4946138</v>
      </c>
      <c r="E582" s="15">
        <v>59100</v>
      </c>
      <c r="F582" s="15">
        <v>4106731</v>
      </c>
      <c r="G582" s="15">
        <v>853495</v>
      </c>
      <c r="H582" s="15">
        <v>35000</v>
      </c>
      <c r="I582" s="15">
        <v>16000</v>
      </c>
    </row>
    <row r="583" spans="2:9" x14ac:dyDescent="0.3">
      <c r="B583" s="14" t="s">
        <v>26</v>
      </c>
      <c r="C583" s="15">
        <v>5210</v>
      </c>
      <c r="D583" s="15">
        <v>15630</v>
      </c>
      <c r="E583" s="15">
        <v>650</v>
      </c>
      <c r="F583" s="15">
        <v>0</v>
      </c>
      <c r="G583" s="15">
        <v>2599</v>
      </c>
      <c r="H583" s="15">
        <v>0</v>
      </c>
      <c r="I583" s="15">
        <v>0</v>
      </c>
    </row>
    <row r="584" spans="2:9" x14ac:dyDescent="0.3">
      <c r="B584" s="14" t="s">
        <v>33</v>
      </c>
      <c r="C584" s="15">
        <v>10120</v>
      </c>
      <c r="D584" s="15">
        <v>20240</v>
      </c>
      <c r="E584" s="15">
        <v>0</v>
      </c>
      <c r="F584" s="15">
        <v>0</v>
      </c>
      <c r="G584" s="15">
        <v>0</v>
      </c>
      <c r="H584" s="15">
        <v>0</v>
      </c>
      <c r="I584" s="15">
        <v>0</v>
      </c>
    </row>
    <row r="585" spans="2:9" x14ac:dyDescent="0.3">
      <c r="B585" s="14" t="s">
        <v>38</v>
      </c>
      <c r="C585" s="15">
        <v>500</v>
      </c>
      <c r="D585" s="15">
        <v>3500</v>
      </c>
      <c r="E585" s="15">
        <v>0</v>
      </c>
      <c r="F585" s="15">
        <v>0</v>
      </c>
      <c r="G585" s="15">
        <v>0</v>
      </c>
      <c r="H585" s="15">
        <v>0</v>
      </c>
      <c r="I585" s="15">
        <v>0</v>
      </c>
    </row>
    <row r="586" spans="2:9" x14ac:dyDescent="0.3">
      <c r="B586" s="14" t="s">
        <v>27</v>
      </c>
      <c r="C586" s="15">
        <v>0</v>
      </c>
      <c r="D586" s="15">
        <v>0</v>
      </c>
      <c r="E586" s="15">
        <v>13900</v>
      </c>
      <c r="F586" s="15">
        <v>126400</v>
      </c>
      <c r="G586" s="15">
        <v>95400</v>
      </c>
      <c r="H586" s="15">
        <v>0</v>
      </c>
      <c r="I586" s="15">
        <v>12000</v>
      </c>
    </row>
    <row r="587" spans="2:9" x14ac:dyDescent="0.3">
      <c r="B587" s="14" t="s">
        <v>28</v>
      </c>
      <c r="C587" s="15">
        <v>1700</v>
      </c>
      <c r="D587" s="15">
        <v>590530</v>
      </c>
      <c r="E587" s="15">
        <v>7289</v>
      </c>
      <c r="F587" s="15">
        <v>2302748</v>
      </c>
      <c r="G587" s="15">
        <v>359015</v>
      </c>
      <c r="H587" s="15">
        <v>0</v>
      </c>
      <c r="I587" s="15">
        <v>11000</v>
      </c>
    </row>
    <row r="588" spans="2:9" ht="15.6" x14ac:dyDescent="0.3">
      <c r="B588" s="16" t="s">
        <v>29</v>
      </c>
      <c r="C588" s="16"/>
      <c r="D588" s="17">
        <f>SUM(D572:D587)</f>
        <v>54081400</v>
      </c>
      <c r="E588" s="18"/>
      <c r="F588" s="17">
        <f>SUM(F572:F587)</f>
        <v>25235310</v>
      </c>
      <c r="G588" s="17">
        <f>SUM(G572:G587)</f>
        <v>5367800</v>
      </c>
      <c r="H588" s="19"/>
      <c r="I588" s="19"/>
    </row>
    <row r="590" spans="2:9" ht="15.6" x14ac:dyDescent="0.3">
      <c r="B590" s="13" t="s">
        <v>68</v>
      </c>
      <c r="C590" s="13"/>
      <c r="D590" s="13"/>
    </row>
    <row r="591" spans="2:9" x14ac:dyDescent="0.3">
      <c r="B591" s="14" t="s">
        <v>12</v>
      </c>
      <c r="C591" s="15">
        <v>0</v>
      </c>
      <c r="D591" s="15">
        <v>0</v>
      </c>
      <c r="E591" s="15">
        <v>250</v>
      </c>
      <c r="F591" s="15">
        <v>60810</v>
      </c>
      <c r="G591" s="15">
        <v>0</v>
      </c>
      <c r="H591" s="15">
        <v>0</v>
      </c>
      <c r="I591" s="15">
        <v>0</v>
      </c>
    </row>
    <row r="592" spans="2:9" x14ac:dyDescent="0.3">
      <c r="B592" s="14" t="s">
        <v>13</v>
      </c>
      <c r="C592" s="15">
        <v>20</v>
      </c>
      <c r="D592" s="15">
        <v>3800</v>
      </c>
      <c r="E592" s="15">
        <v>0</v>
      </c>
      <c r="F592" s="15">
        <v>0</v>
      </c>
      <c r="G592" s="15">
        <v>0</v>
      </c>
      <c r="H592" s="15">
        <v>0</v>
      </c>
      <c r="I592" s="15">
        <v>0</v>
      </c>
    </row>
    <row r="593" spans="2:9" x14ac:dyDescent="0.3">
      <c r="B593" s="14" t="s">
        <v>14</v>
      </c>
      <c r="C593" s="15">
        <v>110</v>
      </c>
      <c r="D593" s="15">
        <v>20965</v>
      </c>
      <c r="E593" s="15">
        <v>460</v>
      </c>
      <c r="F593" s="15">
        <v>98135</v>
      </c>
      <c r="G593" s="15">
        <v>0</v>
      </c>
      <c r="H593" s="15">
        <v>0</v>
      </c>
      <c r="I593" s="15">
        <v>500</v>
      </c>
    </row>
    <row r="594" spans="2:9" x14ac:dyDescent="0.3">
      <c r="B594" s="14" t="s">
        <v>52</v>
      </c>
      <c r="C594" s="15">
        <v>0</v>
      </c>
      <c r="D594" s="15">
        <v>0</v>
      </c>
      <c r="E594" s="15">
        <v>0</v>
      </c>
      <c r="F594" s="15">
        <v>0</v>
      </c>
      <c r="G594" s="15">
        <v>0</v>
      </c>
      <c r="H594" s="15">
        <v>50</v>
      </c>
      <c r="I594" s="15">
        <v>0</v>
      </c>
    </row>
    <row r="595" spans="2:9" x14ac:dyDescent="0.3">
      <c r="B595" s="14" t="s">
        <v>15</v>
      </c>
      <c r="C595" s="15">
        <v>105</v>
      </c>
      <c r="D595" s="15">
        <v>26585</v>
      </c>
      <c r="E595" s="15">
        <v>200</v>
      </c>
      <c r="F595" s="15">
        <v>53540</v>
      </c>
      <c r="G595" s="15">
        <v>0</v>
      </c>
      <c r="H595" s="15">
        <v>0</v>
      </c>
      <c r="I595" s="15">
        <v>0</v>
      </c>
    </row>
    <row r="596" spans="2:9" x14ac:dyDescent="0.3">
      <c r="B596" s="14" t="s">
        <v>16</v>
      </c>
      <c r="C596" s="15">
        <v>10560</v>
      </c>
      <c r="D596" s="15">
        <v>4394735</v>
      </c>
      <c r="E596" s="15">
        <v>450</v>
      </c>
      <c r="F596" s="15">
        <v>189955</v>
      </c>
      <c r="G596" s="15">
        <v>0</v>
      </c>
      <c r="H596" s="15">
        <v>11000</v>
      </c>
      <c r="I596" s="15">
        <v>0</v>
      </c>
    </row>
    <row r="597" spans="2:9" x14ac:dyDescent="0.3">
      <c r="B597" s="14" t="s">
        <v>17</v>
      </c>
      <c r="C597" s="15">
        <v>2700</v>
      </c>
      <c r="D597" s="15">
        <v>41090</v>
      </c>
      <c r="E597" s="15">
        <v>0</v>
      </c>
      <c r="F597" s="15">
        <v>0</v>
      </c>
      <c r="G597" s="15">
        <v>0</v>
      </c>
      <c r="H597" s="15">
        <v>0</v>
      </c>
      <c r="I597" s="15">
        <v>0</v>
      </c>
    </row>
    <row r="598" spans="2:9" x14ac:dyDescent="0.3">
      <c r="B598" s="14" t="s">
        <v>18</v>
      </c>
      <c r="C598" s="15">
        <v>126200</v>
      </c>
      <c r="D598" s="15">
        <v>49253933</v>
      </c>
      <c r="E598" s="15">
        <v>34206</v>
      </c>
      <c r="F598" s="15">
        <v>13527782</v>
      </c>
      <c r="G598" s="15">
        <v>0</v>
      </c>
      <c r="H598" s="15">
        <v>93000</v>
      </c>
      <c r="I598" s="15">
        <v>5050</v>
      </c>
    </row>
    <row r="599" spans="2:9" x14ac:dyDescent="0.3">
      <c r="B599" s="14" t="s">
        <v>19</v>
      </c>
      <c r="C599" s="15">
        <v>4065</v>
      </c>
      <c r="D599" s="15">
        <v>1883441</v>
      </c>
      <c r="E599" s="15">
        <v>1995</v>
      </c>
      <c r="F599" s="15">
        <v>935930</v>
      </c>
      <c r="G599" s="15">
        <v>0</v>
      </c>
      <c r="H599" s="15">
        <v>2825</v>
      </c>
      <c r="I599" s="15">
        <v>0</v>
      </c>
    </row>
    <row r="600" spans="2:9" x14ac:dyDescent="0.3">
      <c r="B600" s="14" t="s">
        <v>20</v>
      </c>
      <c r="C600" s="15">
        <v>0</v>
      </c>
      <c r="D600" s="15">
        <v>0</v>
      </c>
      <c r="E600" s="15">
        <v>0</v>
      </c>
      <c r="F600" s="15">
        <v>0</v>
      </c>
      <c r="G600" s="15">
        <v>0</v>
      </c>
      <c r="H600" s="15">
        <v>2000000</v>
      </c>
      <c r="I600" s="15">
        <v>60455430</v>
      </c>
    </row>
    <row r="601" spans="2:9" x14ac:dyDescent="0.3">
      <c r="B601" s="14" t="s">
        <v>21</v>
      </c>
      <c r="C601" s="15">
        <v>0</v>
      </c>
      <c r="D601" s="15">
        <v>0</v>
      </c>
      <c r="E601" s="15">
        <v>0</v>
      </c>
      <c r="F601" s="15">
        <v>0</v>
      </c>
      <c r="G601" s="15">
        <v>0</v>
      </c>
      <c r="H601" s="15">
        <v>4000</v>
      </c>
      <c r="I601" s="15">
        <v>0</v>
      </c>
    </row>
    <row r="602" spans="2:9" x14ac:dyDescent="0.3">
      <c r="B602" s="14" t="s">
        <v>22</v>
      </c>
      <c r="C602" s="15">
        <v>240000</v>
      </c>
      <c r="D602" s="15">
        <v>564000</v>
      </c>
      <c r="E602" s="15">
        <v>0</v>
      </c>
      <c r="F602" s="15">
        <v>0</v>
      </c>
      <c r="G602" s="15">
        <v>0</v>
      </c>
      <c r="H602" s="15">
        <v>240000</v>
      </c>
      <c r="I602" s="15">
        <v>0</v>
      </c>
    </row>
    <row r="603" spans="2:9" x14ac:dyDescent="0.3">
      <c r="B603" s="14" t="s">
        <v>24</v>
      </c>
      <c r="C603" s="15">
        <v>3370</v>
      </c>
      <c r="D603" s="15">
        <v>306370</v>
      </c>
      <c r="E603" s="15">
        <v>600</v>
      </c>
      <c r="F603" s="15">
        <v>57857</v>
      </c>
      <c r="G603" s="15">
        <v>0</v>
      </c>
      <c r="H603" s="15">
        <v>0</v>
      </c>
      <c r="I603" s="15">
        <v>0</v>
      </c>
    </row>
    <row r="604" spans="2:9" x14ac:dyDescent="0.3">
      <c r="B604" s="14" t="s">
        <v>25</v>
      </c>
      <c r="C604" s="15">
        <v>9449</v>
      </c>
      <c r="D604" s="15">
        <v>723949</v>
      </c>
      <c r="E604" s="15">
        <v>10880</v>
      </c>
      <c r="F604" s="15">
        <v>879432</v>
      </c>
      <c r="G604" s="15">
        <v>0</v>
      </c>
      <c r="H604" s="15">
        <v>0</v>
      </c>
      <c r="I604" s="15">
        <v>6000</v>
      </c>
    </row>
    <row r="605" spans="2:9" x14ac:dyDescent="0.3">
      <c r="B605" s="14" t="s">
        <v>26</v>
      </c>
      <c r="C605" s="15">
        <v>0</v>
      </c>
      <c r="D605" s="15">
        <v>0</v>
      </c>
      <c r="E605" s="15">
        <v>6200</v>
      </c>
      <c r="F605" s="15">
        <v>24800</v>
      </c>
      <c r="G605" s="15">
        <v>0</v>
      </c>
      <c r="H605" s="15">
        <v>0</v>
      </c>
      <c r="I605" s="15">
        <v>0</v>
      </c>
    </row>
    <row r="606" spans="2:9" x14ac:dyDescent="0.3">
      <c r="B606" s="14" t="s">
        <v>27</v>
      </c>
      <c r="C606" s="15">
        <v>280</v>
      </c>
      <c r="D606" s="15">
        <v>2745</v>
      </c>
      <c r="E606" s="15">
        <v>3340</v>
      </c>
      <c r="F606" s="15">
        <v>50741</v>
      </c>
      <c r="G606" s="15">
        <v>0</v>
      </c>
      <c r="H606" s="15">
        <v>0</v>
      </c>
      <c r="I606" s="15">
        <v>0</v>
      </c>
    </row>
    <row r="607" spans="2:9" x14ac:dyDescent="0.3">
      <c r="B607" s="14" t="s">
        <v>28</v>
      </c>
      <c r="C607" s="15">
        <v>53492</v>
      </c>
      <c r="D607" s="15">
        <v>18789997</v>
      </c>
      <c r="E607" s="15">
        <v>4109</v>
      </c>
      <c r="F607" s="15">
        <v>1466628</v>
      </c>
      <c r="G607" s="15">
        <v>0</v>
      </c>
      <c r="H607" s="15">
        <v>52500</v>
      </c>
      <c r="I607" s="15">
        <v>0</v>
      </c>
    </row>
    <row r="608" spans="2:9" ht="15.6" x14ac:dyDescent="0.3">
      <c r="B608" s="16" t="s">
        <v>29</v>
      </c>
      <c r="C608" s="16"/>
      <c r="D608" s="17">
        <f>SUM(D591:D607)</f>
        <v>76011610</v>
      </c>
      <c r="E608" s="18"/>
      <c r="F608" s="17">
        <f>SUM(F591:F607)</f>
        <v>17345610</v>
      </c>
      <c r="G608" s="17">
        <f>SUM(G591:G607)</f>
        <v>0</v>
      </c>
      <c r="H608" s="19"/>
      <c r="I608" s="19"/>
    </row>
    <row r="610" spans="2:9" ht="15.6" x14ac:dyDescent="0.3">
      <c r="B610" s="13" t="s">
        <v>69</v>
      </c>
      <c r="C610" s="13"/>
      <c r="D610" s="13"/>
    </row>
    <row r="611" spans="2:9" x14ac:dyDescent="0.3">
      <c r="B611" s="14" t="s">
        <v>12</v>
      </c>
      <c r="C611" s="15">
        <v>0</v>
      </c>
      <c r="D611" s="15">
        <v>0</v>
      </c>
      <c r="E611" s="15">
        <v>550</v>
      </c>
      <c r="F611" s="15">
        <v>135130</v>
      </c>
      <c r="G611" s="15">
        <v>0</v>
      </c>
      <c r="H611" s="15">
        <v>0</v>
      </c>
      <c r="I611" s="15">
        <v>100</v>
      </c>
    </row>
    <row r="612" spans="2:9" x14ac:dyDescent="0.3">
      <c r="B612" s="14" t="s">
        <v>14</v>
      </c>
      <c r="C612" s="15">
        <v>1300</v>
      </c>
      <c r="D612" s="15">
        <v>248855</v>
      </c>
      <c r="E612" s="15">
        <v>1700</v>
      </c>
      <c r="F612" s="15">
        <v>362695</v>
      </c>
      <c r="G612" s="15">
        <v>0</v>
      </c>
      <c r="H612" s="15">
        <v>0</v>
      </c>
      <c r="I612" s="15">
        <v>0</v>
      </c>
    </row>
    <row r="613" spans="2:9" x14ac:dyDescent="0.3">
      <c r="B613" s="14" t="s">
        <v>52</v>
      </c>
      <c r="C613" s="15">
        <v>0</v>
      </c>
      <c r="D613" s="15">
        <v>0</v>
      </c>
      <c r="E613" s="15">
        <v>105</v>
      </c>
      <c r="F613" s="15">
        <v>7435</v>
      </c>
      <c r="G613" s="15">
        <v>0</v>
      </c>
      <c r="H613" s="15">
        <v>0</v>
      </c>
      <c r="I613" s="15">
        <v>50</v>
      </c>
    </row>
    <row r="614" spans="2:9" x14ac:dyDescent="0.3">
      <c r="B614" s="14" t="s">
        <v>15</v>
      </c>
      <c r="C614" s="15">
        <v>1895</v>
      </c>
      <c r="D614" s="15">
        <v>475191</v>
      </c>
      <c r="E614" s="15">
        <v>1605</v>
      </c>
      <c r="F614" s="15">
        <v>427640</v>
      </c>
      <c r="G614" s="15">
        <v>0</v>
      </c>
      <c r="H614" s="15">
        <v>1500</v>
      </c>
      <c r="I614" s="15">
        <v>650</v>
      </c>
    </row>
    <row r="615" spans="2:9" x14ac:dyDescent="0.3">
      <c r="B615" s="14" t="s">
        <v>16</v>
      </c>
      <c r="C615" s="15">
        <v>43550</v>
      </c>
      <c r="D615" s="15">
        <v>18186432</v>
      </c>
      <c r="E615" s="15">
        <v>2870</v>
      </c>
      <c r="F615" s="15">
        <v>1213468</v>
      </c>
      <c r="G615" s="15">
        <v>0</v>
      </c>
      <c r="H615" s="15">
        <v>46500</v>
      </c>
      <c r="I615" s="15">
        <v>6000</v>
      </c>
    </row>
    <row r="616" spans="2:9" x14ac:dyDescent="0.3">
      <c r="B616" s="14" t="s">
        <v>32</v>
      </c>
      <c r="C616" s="15">
        <v>1600</v>
      </c>
      <c r="D616" s="15">
        <v>73700</v>
      </c>
      <c r="E616" s="15">
        <v>400</v>
      </c>
      <c r="F616" s="15">
        <v>22260</v>
      </c>
      <c r="G616" s="15">
        <v>0</v>
      </c>
      <c r="H616" s="15">
        <v>1200</v>
      </c>
      <c r="I616" s="15">
        <v>0</v>
      </c>
    </row>
    <row r="617" spans="2:9" x14ac:dyDescent="0.3">
      <c r="B617" s="14" t="s">
        <v>17</v>
      </c>
      <c r="C617" s="15">
        <v>4000</v>
      </c>
      <c r="D617" s="15">
        <v>60800</v>
      </c>
      <c r="E617" s="15">
        <v>35400</v>
      </c>
      <c r="F617" s="15">
        <v>593466</v>
      </c>
      <c r="G617" s="15">
        <v>0</v>
      </c>
      <c r="H617" s="15">
        <v>0</v>
      </c>
      <c r="I617" s="15">
        <v>35000</v>
      </c>
    </row>
    <row r="618" spans="2:9" x14ac:dyDescent="0.3">
      <c r="B618" s="14" t="s">
        <v>18</v>
      </c>
      <c r="C618" s="15">
        <v>358559</v>
      </c>
      <c r="D618" s="15">
        <v>139865047</v>
      </c>
      <c r="E618" s="15">
        <v>177068</v>
      </c>
      <c r="F618" s="15">
        <v>69980084</v>
      </c>
      <c r="G618" s="15">
        <v>0</v>
      </c>
      <c r="H618" s="15">
        <v>228500</v>
      </c>
      <c r="I618" s="15">
        <v>52500</v>
      </c>
    </row>
    <row r="619" spans="2:9" x14ac:dyDescent="0.3">
      <c r="B619" s="14" t="s">
        <v>19</v>
      </c>
      <c r="C619" s="15">
        <v>7360</v>
      </c>
      <c r="D619" s="15">
        <v>3405934</v>
      </c>
      <c r="E619" s="15">
        <v>7855</v>
      </c>
      <c r="F619" s="15">
        <v>3712690</v>
      </c>
      <c r="G619" s="15">
        <v>0</v>
      </c>
      <c r="H619" s="15">
        <v>3000</v>
      </c>
      <c r="I619" s="15">
        <v>3825</v>
      </c>
    </row>
    <row r="620" spans="2:9" x14ac:dyDescent="0.3">
      <c r="B620" s="14" t="s">
        <v>20</v>
      </c>
      <c r="C620" s="15">
        <v>0</v>
      </c>
      <c r="D620" s="15">
        <v>0</v>
      </c>
      <c r="E620" s="15">
        <v>0</v>
      </c>
      <c r="F620" s="15">
        <v>0</v>
      </c>
      <c r="G620" s="15">
        <v>0</v>
      </c>
      <c r="H620" s="15">
        <v>35500000</v>
      </c>
      <c r="I620" s="15">
        <v>185686140</v>
      </c>
    </row>
    <row r="621" spans="2:9" x14ac:dyDescent="0.3">
      <c r="B621" s="14" t="s">
        <v>21</v>
      </c>
      <c r="C621" s="15">
        <v>9550</v>
      </c>
      <c r="D621" s="15">
        <v>841630</v>
      </c>
      <c r="E621" s="15">
        <v>40</v>
      </c>
      <c r="F621" s="15">
        <v>4225</v>
      </c>
      <c r="G621" s="15">
        <v>0</v>
      </c>
      <c r="H621" s="15">
        <v>16000</v>
      </c>
      <c r="I621" s="15">
        <v>0</v>
      </c>
    </row>
    <row r="622" spans="2:9" x14ac:dyDescent="0.3">
      <c r="B622" s="14" t="s">
        <v>22</v>
      </c>
      <c r="C622" s="15">
        <v>1100000</v>
      </c>
      <c r="D622" s="15">
        <v>2585000</v>
      </c>
      <c r="E622" s="15">
        <v>20000</v>
      </c>
      <c r="F622" s="15">
        <v>51200</v>
      </c>
      <c r="G622" s="15">
        <v>0</v>
      </c>
      <c r="H622" s="15">
        <v>910000</v>
      </c>
      <c r="I622" s="15">
        <v>30000</v>
      </c>
    </row>
    <row r="623" spans="2:9" x14ac:dyDescent="0.3">
      <c r="B623" s="14" t="s">
        <v>24</v>
      </c>
      <c r="C623" s="15">
        <v>5390</v>
      </c>
      <c r="D623" s="15">
        <v>492167</v>
      </c>
      <c r="E623" s="15">
        <v>2320</v>
      </c>
      <c r="F623" s="15">
        <v>223588</v>
      </c>
      <c r="G623" s="15">
        <v>0</v>
      </c>
      <c r="H623" s="15">
        <v>0</v>
      </c>
      <c r="I623" s="15">
        <v>0</v>
      </c>
    </row>
    <row r="624" spans="2:9" x14ac:dyDescent="0.3">
      <c r="B624" s="14" t="s">
        <v>25</v>
      </c>
      <c r="C624" s="15">
        <v>15346</v>
      </c>
      <c r="D624" s="15">
        <v>1181309</v>
      </c>
      <c r="E624" s="15">
        <v>20874</v>
      </c>
      <c r="F624" s="15">
        <v>1684667</v>
      </c>
      <c r="G624" s="15">
        <v>0</v>
      </c>
      <c r="H624" s="15">
        <v>6000</v>
      </c>
      <c r="I624" s="15">
        <v>10000</v>
      </c>
    </row>
    <row r="625" spans="2:9" x14ac:dyDescent="0.3">
      <c r="B625" s="14" t="s">
        <v>26</v>
      </c>
      <c r="C625" s="15">
        <v>0</v>
      </c>
      <c r="D625" s="15">
        <v>0</v>
      </c>
      <c r="E625" s="15">
        <v>5400</v>
      </c>
      <c r="F625" s="15">
        <v>19928</v>
      </c>
      <c r="G625" s="15">
        <v>0</v>
      </c>
      <c r="H625" s="15">
        <v>0</v>
      </c>
      <c r="I625" s="15">
        <v>0</v>
      </c>
    </row>
    <row r="626" spans="2:9" x14ac:dyDescent="0.3">
      <c r="B626" s="14" t="s">
        <v>27</v>
      </c>
      <c r="C626" s="15">
        <v>10605</v>
      </c>
      <c r="D626" s="15">
        <v>103995</v>
      </c>
      <c r="E626" s="15">
        <v>55465</v>
      </c>
      <c r="F626" s="15">
        <v>861450</v>
      </c>
      <c r="G626" s="15">
        <v>0</v>
      </c>
      <c r="H626" s="15">
        <v>0</v>
      </c>
      <c r="I626" s="15">
        <v>55000</v>
      </c>
    </row>
    <row r="627" spans="2:9" x14ac:dyDescent="0.3">
      <c r="B627" s="14" t="s">
        <v>28</v>
      </c>
      <c r="C627" s="15">
        <v>207448</v>
      </c>
      <c r="D627" s="15">
        <v>72796760</v>
      </c>
      <c r="E627" s="15">
        <v>24553</v>
      </c>
      <c r="F627" s="15">
        <v>8768494</v>
      </c>
      <c r="G627" s="15">
        <v>0</v>
      </c>
      <c r="H627" s="15">
        <v>220500</v>
      </c>
      <c r="I627" s="15">
        <v>36600</v>
      </c>
    </row>
    <row r="628" spans="2:9" ht="15.6" x14ac:dyDescent="0.3">
      <c r="B628" s="16" t="s">
        <v>29</v>
      </c>
      <c r="C628" s="16"/>
      <c r="D628" s="17">
        <f>SUM(D611:D627)</f>
        <v>240316820</v>
      </c>
      <c r="E628" s="18"/>
      <c r="F628" s="17">
        <f>SUM(F611:F627)</f>
        <v>88068420</v>
      </c>
      <c r="G628" s="17">
        <f>SUM(G611:G627)</f>
        <v>0</v>
      </c>
      <c r="H628" s="19"/>
      <c r="I628" s="19"/>
    </row>
    <row r="630" spans="2:9" ht="15.6" x14ac:dyDescent="0.3">
      <c r="B630" s="13" t="s">
        <v>70</v>
      </c>
      <c r="C630" s="13"/>
      <c r="D630" s="13"/>
    </row>
    <row r="631" spans="2:9" x14ac:dyDescent="0.3">
      <c r="B631" s="14" t="s">
        <v>12</v>
      </c>
      <c r="C631" s="15">
        <v>600</v>
      </c>
      <c r="D631" s="15">
        <v>136410</v>
      </c>
      <c r="E631" s="15">
        <v>0</v>
      </c>
      <c r="F631" s="15">
        <v>0</v>
      </c>
      <c r="G631" s="15">
        <v>0</v>
      </c>
      <c r="H631" s="15">
        <v>0</v>
      </c>
      <c r="I631" s="15">
        <v>0</v>
      </c>
    </row>
    <row r="632" spans="2:9" x14ac:dyDescent="0.3">
      <c r="B632" s="14" t="s">
        <v>14</v>
      </c>
      <c r="C632" s="15">
        <v>765</v>
      </c>
      <c r="D632" s="15">
        <v>144805</v>
      </c>
      <c r="E632" s="15">
        <v>505</v>
      </c>
      <c r="F632" s="15">
        <v>108105</v>
      </c>
      <c r="G632" s="15">
        <v>0</v>
      </c>
      <c r="H632" s="15">
        <v>0</v>
      </c>
      <c r="I632" s="15">
        <v>0</v>
      </c>
    </row>
    <row r="633" spans="2:9" x14ac:dyDescent="0.3">
      <c r="B633" s="14" t="s">
        <v>52</v>
      </c>
      <c r="C633" s="15">
        <v>0</v>
      </c>
      <c r="D633" s="15">
        <v>0</v>
      </c>
      <c r="E633" s="15">
        <v>100</v>
      </c>
      <c r="F633" s="15">
        <v>7080</v>
      </c>
      <c r="G633" s="15">
        <v>0</v>
      </c>
      <c r="H633" s="15">
        <v>0</v>
      </c>
      <c r="I633" s="15">
        <v>0</v>
      </c>
    </row>
    <row r="634" spans="2:9" x14ac:dyDescent="0.3">
      <c r="B634" s="14" t="s">
        <v>15</v>
      </c>
      <c r="C634" s="15">
        <v>1660</v>
      </c>
      <c r="D634" s="15">
        <v>414087</v>
      </c>
      <c r="E634" s="15">
        <v>540</v>
      </c>
      <c r="F634" s="15">
        <v>38095</v>
      </c>
      <c r="G634" s="15">
        <v>111501</v>
      </c>
      <c r="H634" s="15">
        <v>1000</v>
      </c>
      <c r="I634" s="15">
        <v>1100</v>
      </c>
    </row>
    <row r="635" spans="2:9" x14ac:dyDescent="0.3">
      <c r="B635" s="14" t="s">
        <v>16</v>
      </c>
      <c r="C635" s="15">
        <v>7810</v>
      </c>
      <c r="D635" s="15">
        <v>3218661</v>
      </c>
      <c r="E635" s="15">
        <v>1740</v>
      </c>
      <c r="F635" s="15">
        <v>687714</v>
      </c>
      <c r="G635" s="15">
        <v>46332</v>
      </c>
      <c r="H635" s="15">
        <v>8500</v>
      </c>
      <c r="I635" s="15">
        <v>2300</v>
      </c>
    </row>
    <row r="636" spans="2:9" x14ac:dyDescent="0.3">
      <c r="B636" s="14" t="s">
        <v>32</v>
      </c>
      <c r="C636" s="15">
        <v>450</v>
      </c>
      <c r="D636" s="15">
        <v>20725</v>
      </c>
      <c r="E636" s="15">
        <v>450</v>
      </c>
      <c r="F636" s="15">
        <v>0</v>
      </c>
      <c r="G636" s="15">
        <v>27025</v>
      </c>
      <c r="H636" s="15">
        <v>390</v>
      </c>
      <c r="I636" s="15">
        <v>0</v>
      </c>
    </row>
    <row r="637" spans="2:9" x14ac:dyDescent="0.3">
      <c r="B637" s="14" t="s">
        <v>17</v>
      </c>
      <c r="C637" s="15">
        <v>0</v>
      </c>
      <c r="D637" s="15">
        <v>0</v>
      </c>
      <c r="E637" s="15">
        <v>6300</v>
      </c>
      <c r="F637" s="15">
        <v>82050</v>
      </c>
      <c r="G637" s="15">
        <v>29085</v>
      </c>
      <c r="H637" s="15">
        <v>0</v>
      </c>
      <c r="I637" s="15">
        <v>0</v>
      </c>
    </row>
    <row r="638" spans="2:9" x14ac:dyDescent="0.3">
      <c r="B638" s="14" t="s">
        <v>18</v>
      </c>
      <c r="C638" s="15">
        <v>183291</v>
      </c>
      <c r="D638" s="15">
        <v>71336280</v>
      </c>
      <c r="E638" s="15">
        <v>102649</v>
      </c>
      <c r="F638" s="15">
        <v>25290985</v>
      </c>
      <c r="G638" s="15">
        <v>15385490</v>
      </c>
      <c r="H638" s="15">
        <v>118100</v>
      </c>
      <c r="I638" s="15">
        <v>33000</v>
      </c>
    </row>
    <row r="639" spans="2:9" x14ac:dyDescent="0.3">
      <c r="B639" s="14" t="s">
        <v>19</v>
      </c>
      <c r="C639" s="15">
        <v>4975</v>
      </c>
      <c r="D639" s="15">
        <v>2293339</v>
      </c>
      <c r="E639" s="15">
        <v>3910</v>
      </c>
      <c r="F639" s="15">
        <v>1271549</v>
      </c>
      <c r="G639" s="15">
        <v>568760</v>
      </c>
      <c r="H639" s="15">
        <v>4410</v>
      </c>
      <c r="I639" s="15">
        <v>4510</v>
      </c>
    </row>
    <row r="640" spans="2:9" x14ac:dyDescent="0.3">
      <c r="B640" s="14" t="s">
        <v>20</v>
      </c>
      <c r="C640" s="15">
        <v>0</v>
      </c>
      <c r="D640" s="15">
        <v>0</v>
      </c>
      <c r="E640" s="15">
        <v>0</v>
      </c>
      <c r="F640" s="15">
        <v>0</v>
      </c>
      <c r="G640" s="15">
        <v>0</v>
      </c>
      <c r="H640" s="15">
        <v>0</v>
      </c>
      <c r="I640" s="15">
        <v>80054665</v>
      </c>
    </row>
    <row r="641" spans="2:9" x14ac:dyDescent="0.3">
      <c r="B641" s="14" t="s">
        <v>21</v>
      </c>
      <c r="C641" s="15">
        <v>510</v>
      </c>
      <c r="D641" s="15">
        <v>44880</v>
      </c>
      <c r="E641" s="15">
        <v>0</v>
      </c>
      <c r="F641" s="15">
        <v>0</v>
      </c>
      <c r="G641" s="15">
        <v>0</v>
      </c>
      <c r="H641" s="15">
        <v>0</v>
      </c>
      <c r="I641" s="15">
        <v>0</v>
      </c>
    </row>
    <row r="642" spans="2:9" x14ac:dyDescent="0.3">
      <c r="B642" s="14" t="s">
        <v>22</v>
      </c>
      <c r="C642" s="15">
        <v>1000</v>
      </c>
      <c r="D642" s="15">
        <v>2345</v>
      </c>
      <c r="E642" s="15">
        <v>556000</v>
      </c>
      <c r="F642" s="15">
        <v>904825</v>
      </c>
      <c r="G642" s="15">
        <v>590900</v>
      </c>
      <c r="H642" s="15">
        <v>0</v>
      </c>
      <c r="I642" s="15">
        <v>515000</v>
      </c>
    </row>
    <row r="643" spans="2:9" x14ac:dyDescent="0.3">
      <c r="B643" s="14" t="s">
        <v>24</v>
      </c>
      <c r="C643" s="15">
        <v>1290</v>
      </c>
      <c r="D643" s="15">
        <v>110081</v>
      </c>
      <c r="E643" s="15">
        <v>3810</v>
      </c>
      <c r="F643" s="15">
        <v>284373</v>
      </c>
      <c r="G643" s="15">
        <v>88318</v>
      </c>
      <c r="H643" s="15">
        <v>0</v>
      </c>
      <c r="I643" s="15">
        <v>2000</v>
      </c>
    </row>
    <row r="644" spans="2:9" x14ac:dyDescent="0.3">
      <c r="B644" s="14" t="s">
        <v>25</v>
      </c>
      <c r="C644" s="15">
        <v>29020</v>
      </c>
      <c r="D644" s="15">
        <v>2137171</v>
      </c>
      <c r="E644" s="15">
        <v>12096</v>
      </c>
      <c r="F644" s="15">
        <v>734890</v>
      </c>
      <c r="G644" s="15">
        <v>279643</v>
      </c>
      <c r="H644" s="15">
        <v>27000</v>
      </c>
      <c r="I644" s="15">
        <v>2650</v>
      </c>
    </row>
    <row r="645" spans="2:9" x14ac:dyDescent="0.3">
      <c r="B645" s="14" t="s">
        <v>26</v>
      </c>
      <c r="C645" s="15">
        <v>8140</v>
      </c>
      <c r="D645" s="15">
        <v>24420</v>
      </c>
      <c r="E645" s="15">
        <v>70</v>
      </c>
      <c r="F645" s="15">
        <v>279</v>
      </c>
      <c r="G645" s="15">
        <v>0</v>
      </c>
      <c r="H645" s="15">
        <v>0</v>
      </c>
      <c r="I645" s="15">
        <v>0</v>
      </c>
    </row>
    <row r="646" spans="2:9" x14ac:dyDescent="0.3">
      <c r="B646" s="14" t="s">
        <v>38</v>
      </c>
      <c r="C646" s="15">
        <v>1000</v>
      </c>
      <c r="D646" s="15">
        <v>7000</v>
      </c>
      <c r="E646" s="15">
        <v>0</v>
      </c>
      <c r="F646" s="15">
        <v>0</v>
      </c>
      <c r="G646" s="15">
        <v>0</v>
      </c>
      <c r="H646" s="15">
        <v>0</v>
      </c>
      <c r="I646" s="15">
        <v>0</v>
      </c>
    </row>
    <row r="647" spans="2:9" x14ac:dyDescent="0.3">
      <c r="B647" s="14" t="s">
        <v>27</v>
      </c>
      <c r="C647" s="15">
        <v>8800</v>
      </c>
      <c r="D647" s="15">
        <v>86240</v>
      </c>
      <c r="E647" s="15">
        <v>74090</v>
      </c>
      <c r="F647" s="15">
        <v>568135</v>
      </c>
      <c r="G647" s="15">
        <v>456692</v>
      </c>
      <c r="H647" s="15">
        <v>20650</v>
      </c>
      <c r="I647" s="15">
        <v>82000</v>
      </c>
    </row>
    <row r="648" spans="2:9" x14ac:dyDescent="0.3">
      <c r="B648" s="14" t="s">
        <v>28</v>
      </c>
      <c r="C648" s="15">
        <v>91083</v>
      </c>
      <c r="D648" s="15">
        <v>31879411</v>
      </c>
      <c r="E648" s="15">
        <v>20615</v>
      </c>
      <c r="F648" s="15">
        <v>3077735</v>
      </c>
      <c r="G648" s="15">
        <v>4307524</v>
      </c>
      <c r="H648" s="15">
        <v>68000</v>
      </c>
      <c r="I648" s="15">
        <v>1250</v>
      </c>
    </row>
    <row r="649" spans="2:9" ht="15.6" x14ac:dyDescent="0.3">
      <c r="B649" s="16" t="s">
        <v>29</v>
      </c>
      <c r="C649" s="16"/>
      <c r="D649" s="17">
        <f>SUM(D631:D648)</f>
        <v>111855855</v>
      </c>
      <c r="E649" s="18"/>
      <c r="F649" s="17">
        <f>SUM(F631:F648)</f>
        <v>33055815</v>
      </c>
      <c r="G649" s="17">
        <f>SUM(G631:G648)</f>
        <v>21891270</v>
      </c>
      <c r="H649" s="19"/>
      <c r="I649" s="19"/>
    </row>
    <row r="651" spans="2:9" ht="15.6" x14ac:dyDescent="0.3">
      <c r="B651" s="13" t="s">
        <v>71</v>
      </c>
      <c r="C651" s="13"/>
      <c r="D651" s="13"/>
    </row>
    <row r="652" spans="2:9" x14ac:dyDescent="0.3">
      <c r="B652" s="14" t="s">
        <v>12</v>
      </c>
      <c r="C652" s="15">
        <v>150</v>
      </c>
      <c r="D652" s="15">
        <v>34120</v>
      </c>
      <c r="E652" s="15">
        <v>105</v>
      </c>
      <c r="F652" s="15">
        <v>0</v>
      </c>
      <c r="G652" s="15">
        <v>26365</v>
      </c>
      <c r="H652" s="15">
        <v>600</v>
      </c>
      <c r="I652" s="15">
        <v>100</v>
      </c>
    </row>
    <row r="653" spans="2:9" x14ac:dyDescent="0.3">
      <c r="B653" s="14" t="s">
        <v>14</v>
      </c>
      <c r="C653" s="15">
        <v>80</v>
      </c>
      <c r="D653" s="15">
        <v>15280</v>
      </c>
      <c r="E653" s="15">
        <v>3260</v>
      </c>
      <c r="F653" s="15">
        <v>627310</v>
      </c>
      <c r="G653" s="15">
        <v>68735</v>
      </c>
      <c r="H653" s="15">
        <v>0</v>
      </c>
      <c r="I653" s="15">
        <v>1000</v>
      </c>
    </row>
    <row r="654" spans="2:9" x14ac:dyDescent="0.3">
      <c r="B654" s="14" t="s">
        <v>15</v>
      </c>
      <c r="C654" s="15">
        <v>100</v>
      </c>
      <c r="D654" s="15">
        <v>24860</v>
      </c>
      <c r="E654" s="15">
        <v>0</v>
      </c>
      <c r="F654" s="15">
        <v>0</v>
      </c>
      <c r="G654" s="15">
        <v>0</v>
      </c>
      <c r="H654" s="15">
        <v>100</v>
      </c>
      <c r="I654" s="15">
        <v>0</v>
      </c>
    </row>
    <row r="655" spans="2:9" x14ac:dyDescent="0.3">
      <c r="B655" s="14" t="s">
        <v>16</v>
      </c>
      <c r="C655" s="15">
        <v>9100</v>
      </c>
      <c r="D655" s="15">
        <v>3729530</v>
      </c>
      <c r="E655" s="15">
        <v>420</v>
      </c>
      <c r="F655" s="15">
        <v>93885</v>
      </c>
      <c r="G655" s="15">
        <v>85550</v>
      </c>
      <c r="H655" s="15">
        <v>8000</v>
      </c>
      <c r="I655" s="15">
        <v>0</v>
      </c>
    </row>
    <row r="656" spans="2:9" x14ac:dyDescent="0.3">
      <c r="B656" s="14" t="s">
        <v>32</v>
      </c>
      <c r="C656" s="15">
        <v>260</v>
      </c>
      <c r="D656" s="15">
        <v>11975</v>
      </c>
      <c r="E656" s="15">
        <v>0</v>
      </c>
      <c r="F656" s="15">
        <v>0</v>
      </c>
      <c r="G656" s="15">
        <v>0</v>
      </c>
      <c r="H656" s="15">
        <v>0</v>
      </c>
      <c r="I656" s="15">
        <v>0</v>
      </c>
    </row>
    <row r="657" spans="2:9" x14ac:dyDescent="0.3">
      <c r="B657" s="14" t="s">
        <v>17</v>
      </c>
      <c r="C657" s="15">
        <v>6000</v>
      </c>
      <c r="D657" s="15">
        <v>84840</v>
      </c>
      <c r="E657" s="15">
        <v>20900</v>
      </c>
      <c r="F657" s="15">
        <v>232575</v>
      </c>
      <c r="G657" s="15">
        <v>137290</v>
      </c>
      <c r="H657" s="15">
        <v>0</v>
      </c>
      <c r="I657" s="15">
        <v>0</v>
      </c>
    </row>
    <row r="658" spans="2:9" x14ac:dyDescent="0.3">
      <c r="B658" s="14" t="s">
        <v>18</v>
      </c>
      <c r="C658" s="15">
        <v>189562</v>
      </c>
      <c r="D658" s="15">
        <v>73365060</v>
      </c>
      <c r="E658" s="15">
        <v>77783</v>
      </c>
      <c r="F658" s="15">
        <v>22329107</v>
      </c>
      <c r="G658" s="15">
        <v>8809562</v>
      </c>
      <c r="H658" s="15">
        <v>108000</v>
      </c>
      <c r="I658" s="15">
        <v>6840</v>
      </c>
    </row>
    <row r="659" spans="2:9" x14ac:dyDescent="0.3">
      <c r="B659" s="14" t="s">
        <v>19</v>
      </c>
      <c r="C659" s="15">
        <v>5210</v>
      </c>
      <c r="D659" s="15">
        <v>2396910</v>
      </c>
      <c r="E659" s="15">
        <v>3250</v>
      </c>
      <c r="F659" s="15">
        <v>1260245</v>
      </c>
      <c r="G659" s="15">
        <v>289968</v>
      </c>
      <c r="H659" s="15">
        <v>4500</v>
      </c>
      <c r="I659" s="15">
        <v>1500</v>
      </c>
    </row>
    <row r="660" spans="2:9" x14ac:dyDescent="0.3">
      <c r="B660" s="14" t="s">
        <v>20</v>
      </c>
      <c r="C660" s="15">
        <v>0</v>
      </c>
      <c r="D660" s="15">
        <v>0</v>
      </c>
      <c r="E660" s="15">
        <v>0</v>
      </c>
      <c r="F660" s="15">
        <v>0</v>
      </c>
      <c r="G660" s="15">
        <v>0</v>
      </c>
      <c r="H660" s="15">
        <v>8500000</v>
      </c>
      <c r="I660" s="15">
        <v>59997510</v>
      </c>
    </row>
    <row r="661" spans="2:9" x14ac:dyDescent="0.3">
      <c r="B661" s="14" t="s">
        <v>23</v>
      </c>
      <c r="C661" s="15">
        <v>0</v>
      </c>
      <c r="D661" s="15">
        <v>0</v>
      </c>
      <c r="E661" s="15">
        <v>500</v>
      </c>
      <c r="F661" s="15">
        <v>0</v>
      </c>
      <c r="G661" s="15">
        <v>115400</v>
      </c>
      <c r="H661" s="15">
        <v>0</v>
      </c>
      <c r="I661" s="15">
        <v>500</v>
      </c>
    </row>
    <row r="662" spans="2:9" x14ac:dyDescent="0.3">
      <c r="B662" s="14" t="s">
        <v>24</v>
      </c>
      <c r="C662" s="15">
        <v>3330</v>
      </c>
      <c r="D662" s="15">
        <v>282912</v>
      </c>
      <c r="E662" s="15">
        <v>25120</v>
      </c>
      <c r="F662" s="15">
        <v>1341775</v>
      </c>
      <c r="G662" s="15">
        <v>1114705</v>
      </c>
      <c r="H662" s="15">
        <v>0</v>
      </c>
      <c r="I662" s="15">
        <v>23100</v>
      </c>
    </row>
    <row r="663" spans="2:9" x14ac:dyDescent="0.3">
      <c r="B663" s="14" t="s">
        <v>25</v>
      </c>
      <c r="C663" s="15">
        <v>26644</v>
      </c>
      <c r="D663" s="15">
        <v>1988991</v>
      </c>
      <c r="E663" s="15">
        <v>9113</v>
      </c>
      <c r="F663" s="15">
        <v>755940</v>
      </c>
      <c r="G663" s="15">
        <v>25640</v>
      </c>
      <c r="H663" s="15">
        <v>0</v>
      </c>
      <c r="I663" s="15">
        <v>5000</v>
      </c>
    </row>
    <row r="664" spans="2:9" x14ac:dyDescent="0.3">
      <c r="B664" s="14" t="s">
        <v>26</v>
      </c>
      <c r="C664" s="15">
        <v>0</v>
      </c>
      <c r="D664" s="15">
        <v>0</v>
      </c>
      <c r="E664" s="15">
        <v>9100</v>
      </c>
      <c r="F664" s="15">
        <v>25830</v>
      </c>
      <c r="G664" s="15">
        <v>8400</v>
      </c>
      <c r="H664" s="15">
        <v>0</v>
      </c>
      <c r="I664" s="15">
        <v>0</v>
      </c>
    </row>
    <row r="665" spans="2:9" x14ac:dyDescent="0.3">
      <c r="B665" s="14" t="s">
        <v>27</v>
      </c>
      <c r="C665" s="15">
        <v>580</v>
      </c>
      <c r="D665" s="15">
        <v>5685</v>
      </c>
      <c r="E665" s="15">
        <v>25150</v>
      </c>
      <c r="F665" s="15">
        <v>354320</v>
      </c>
      <c r="G665" s="15">
        <v>8000</v>
      </c>
      <c r="H665" s="15">
        <v>0</v>
      </c>
      <c r="I665" s="15">
        <v>10000</v>
      </c>
    </row>
    <row r="666" spans="2:9" x14ac:dyDescent="0.3">
      <c r="B666" s="14" t="s">
        <v>28</v>
      </c>
      <c r="C666" s="15">
        <v>23955</v>
      </c>
      <c r="D666" s="15">
        <v>8363622</v>
      </c>
      <c r="E666" s="15">
        <v>19504</v>
      </c>
      <c r="F666" s="15">
        <v>5239623</v>
      </c>
      <c r="G666" s="15">
        <v>1791025</v>
      </c>
      <c r="H666" s="15">
        <v>20000</v>
      </c>
      <c r="I666" s="15">
        <v>16650</v>
      </c>
    </row>
    <row r="667" spans="2:9" ht="15.6" x14ac:dyDescent="0.3">
      <c r="B667" s="16" t="s">
        <v>29</v>
      </c>
      <c r="C667" s="16"/>
      <c r="D667" s="17">
        <f>SUM(D652:D666)</f>
        <v>90303785</v>
      </c>
      <c r="E667" s="18"/>
      <c r="F667" s="17">
        <f>SUM(F652:F666)</f>
        <v>32260610</v>
      </c>
      <c r="G667" s="17">
        <f>SUM(G652:G666)</f>
        <v>12480640</v>
      </c>
      <c r="H667" s="19"/>
      <c r="I667" s="19"/>
    </row>
    <row r="669" spans="2:9" ht="15.6" x14ac:dyDescent="0.3">
      <c r="B669" s="13" t="s">
        <v>72</v>
      </c>
      <c r="C669" s="13"/>
      <c r="D669" s="13"/>
    </row>
    <row r="670" spans="2:9" x14ac:dyDescent="0.3">
      <c r="B670" s="14" t="s">
        <v>12</v>
      </c>
      <c r="C670" s="15">
        <v>900</v>
      </c>
      <c r="D670" s="15">
        <v>205505</v>
      </c>
      <c r="E670" s="15">
        <v>0</v>
      </c>
      <c r="F670" s="15">
        <v>0</v>
      </c>
      <c r="G670" s="15">
        <v>0</v>
      </c>
      <c r="H670" s="15">
        <v>0</v>
      </c>
      <c r="I670" s="15">
        <v>0</v>
      </c>
    </row>
    <row r="671" spans="2:9" x14ac:dyDescent="0.3">
      <c r="B671" s="14" t="s">
        <v>13</v>
      </c>
      <c r="C671" s="15">
        <v>10</v>
      </c>
      <c r="D671" s="15">
        <v>1901</v>
      </c>
      <c r="E671" s="15">
        <v>0</v>
      </c>
      <c r="F671" s="15">
        <v>0</v>
      </c>
      <c r="G671" s="15">
        <v>0</v>
      </c>
      <c r="H671" s="15">
        <v>0</v>
      </c>
      <c r="I671" s="15">
        <v>0</v>
      </c>
    </row>
    <row r="672" spans="2:9" x14ac:dyDescent="0.3">
      <c r="B672" s="14" t="s">
        <v>14</v>
      </c>
      <c r="C672" s="15">
        <v>1170</v>
      </c>
      <c r="D672" s="15">
        <v>224048</v>
      </c>
      <c r="E672" s="15">
        <v>5800</v>
      </c>
      <c r="F672" s="15">
        <v>1239029</v>
      </c>
      <c r="G672" s="15">
        <v>0</v>
      </c>
      <c r="H672" s="15">
        <v>0</v>
      </c>
      <c r="I672" s="15">
        <v>2000</v>
      </c>
    </row>
    <row r="673" spans="2:9" x14ac:dyDescent="0.3">
      <c r="B673" s="14" t="s">
        <v>15</v>
      </c>
      <c r="C673" s="15">
        <v>3750</v>
      </c>
      <c r="D673" s="15">
        <v>949730</v>
      </c>
      <c r="E673" s="15">
        <v>3700</v>
      </c>
      <c r="F673" s="15">
        <v>992230</v>
      </c>
      <c r="G673" s="15">
        <v>0</v>
      </c>
      <c r="H673" s="15">
        <v>2000</v>
      </c>
      <c r="I673" s="15">
        <v>2100</v>
      </c>
    </row>
    <row r="674" spans="2:9" x14ac:dyDescent="0.3">
      <c r="B674" s="14" t="s">
        <v>16</v>
      </c>
      <c r="C674" s="15">
        <v>7510</v>
      </c>
      <c r="D674" s="15">
        <v>3110766</v>
      </c>
      <c r="E674" s="15">
        <v>6390</v>
      </c>
      <c r="F674" s="15">
        <v>2698383</v>
      </c>
      <c r="G674" s="15">
        <v>0</v>
      </c>
      <c r="H674" s="15">
        <v>5000</v>
      </c>
      <c r="I674" s="15">
        <v>3000</v>
      </c>
    </row>
    <row r="675" spans="2:9" x14ac:dyDescent="0.3">
      <c r="B675" s="14" t="s">
        <v>32</v>
      </c>
      <c r="C675" s="15">
        <v>1173</v>
      </c>
      <c r="D675" s="15">
        <v>54068</v>
      </c>
      <c r="E675" s="15">
        <v>0</v>
      </c>
      <c r="F675" s="15">
        <v>0</v>
      </c>
      <c r="G675" s="15">
        <v>0</v>
      </c>
      <c r="H675" s="15">
        <v>0</v>
      </c>
      <c r="I675" s="15">
        <v>0</v>
      </c>
    </row>
    <row r="676" spans="2:9" x14ac:dyDescent="0.3">
      <c r="B676" s="14" t="s">
        <v>17</v>
      </c>
      <c r="C676" s="15">
        <v>8300</v>
      </c>
      <c r="D676" s="15">
        <v>126160</v>
      </c>
      <c r="E676" s="15">
        <v>29000</v>
      </c>
      <c r="F676" s="15">
        <v>486498</v>
      </c>
      <c r="G676" s="15">
        <v>0</v>
      </c>
      <c r="H676" s="15">
        <v>0</v>
      </c>
      <c r="I676" s="15">
        <v>15000</v>
      </c>
    </row>
    <row r="677" spans="2:9" x14ac:dyDescent="0.3">
      <c r="B677" s="14" t="s">
        <v>18</v>
      </c>
      <c r="C677" s="15">
        <v>156428</v>
      </c>
      <c r="D677" s="15">
        <v>61001085</v>
      </c>
      <c r="E677" s="15">
        <v>160417</v>
      </c>
      <c r="F677" s="15">
        <v>63395445</v>
      </c>
      <c r="G677" s="15">
        <v>0</v>
      </c>
      <c r="H677" s="15">
        <v>38200</v>
      </c>
      <c r="I677" s="15">
        <v>50450</v>
      </c>
    </row>
    <row r="678" spans="2:9" x14ac:dyDescent="0.3">
      <c r="B678" s="14" t="s">
        <v>19</v>
      </c>
      <c r="C678" s="15">
        <v>8185</v>
      </c>
      <c r="D678" s="15">
        <v>3780052</v>
      </c>
      <c r="E678" s="15">
        <v>6325</v>
      </c>
      <c r="F678" s="15">
        <v>2974133</v>
      </c>
      <c r="G678" s="15">
        <v>0</v>
      </c>
      <c r="H678" s="15">
        <v>3000</v>
      </c>
      <c r="I678" s="15">
        <v>600</v>
      </c>
    </row>
    <row r="679" spans="2:9" x14ac:dyDescent="0.3">
      <c r="B679" s="14" t="s">
        <v>20</v>
      </c>
      <c r="C679" s="15">
        <v>0</v>
      </c>
      <c r="D679" s="15">
        <v>0</v>
      </c>
      <c r="E679" s="15">
        <v>0</v>
      </c>
      <c r="F679" s="15">
        <v>0</v>
      </c>
      <c r="G679" s="15">
        <v>0</v>
      </c>
      <c r="H679" s="15">
        <v>19500000</v>
      </c>
      <c r="I679" s="15">
        <v>16201090</v>
      </c>
    </row>
    <row r="680" spans="2:9" x14ac:dyDescent="0.3">
      <c r="B680" s="14" t="s">
        <v>21</v>
      </c>
      <c r="C680" s="15">
        <v>200</v>
      </c>
      <c r="D680" s="15">
        <v>17600</v>
      </c>
      <c r="E680" s="15">
        <v>1000</v>
      </c>
      <c r="F680" s="15">
        <v>105400</v>
      </c>
      <c r="G680" s="15">
        <v>0</v>
      </c>
      <c r="H680" s="15">
        <v>0</v>
      </c>
      <c r="I680" s="15">
        <v>0</v>
      </c>
    </row>
    <row r="681" spans="2:9" x14ac:dyDescent="0.3">
      <c r="B681" s="14" t="s">
        <v>24</v>
      </c>
      <c r="C681" s="15">
        <v>150</v>
      </c>
      <c r="D681" s="15">
        <v>13740</v>
      </c>
      <c r="E681" s="15">
        <v>6780</v>
      </c>
      <c r="F681" s="15">
        <v>652705</v>
      </c>
      <c r="G681" s="15">
        <v>0</v>
      </c>
      <c r="H681" s="15">
        <v>0</v>
      </c>
      <c r="I681" s="15">
        <v>2000</v>
      </c>
    </row>
    <row r="682" spans="2:9" x14ac:dyDescent="0.3">
      <c r="B682" s="14" t="s">
        <v>25</v>
      </c>
      <c r="C682" s="15">
        <v>15505</v>
      </c>
      <c r="D682" s="15">
        <v>1196644</v>
      </c>
      <c r="E682" s="15">
        <v>41366</v>
      </c>
      <c r="F682" s="15">
        <v>3340017</v>
      </c>
      <c r="G682" s="15">
        <v>0</v>
      </c>
      <c r="H682" s="15">
        <v>0</v>
      </c>
      <c r="I682" s="15">
        <v>15500</v>
      </c>
    </row>
    <row r="683" spans="2:9" x14ac:dyDescent="0.3">
      <c r="B683" s="14" t="s">
        <v>26</v>
      </c>
      <c r="C683" s="15">
        <v>8770</v>
      </c>
      <c r="D683" s="15">
        <v>26310</v>
      </c>
      <c r="E683" s="15">
        <v>27710</v>
      </c>
      <c r="F683" s="15">
        <v>104548</v>
      </c>
      <c r="G683" s="15">
        <v>0</v>
      </c>
      <c r="H683" s="15">
        <v>0</v>
      </c>
      <c r="I683" s="15">
        <v>0</v>
      </c>
    </row>
    <row r="684" spans="2:9" x14ac:dyDescent="0.3">
      <c r="B684" s="14" t="s">
        <v>38</v>
      </c>
      <c r="C684" s="15">
        <v>120</v>
      </c>
      <c r="D684" s="15">
        <v>840</v>
      </c>
      <c r="E684" s="15">
        <v>0</v>
      </c>
      <c r="F684" s="15">
        <v>0</v>
      </c>
      <c r="G684" s="15">
        <v>0</v>
      </c>
      <c r="H684" s="15">
        <v>0</v>
      </c>
      <c r="I684" s="15">
        <v>0</v>
      </c>
    </row>
    <row r="685" spans="2:9" x14ac:dyDescent="0.3">
      <c r="B685" s="14" t="s">
        <v>27</v>
      </c>
      <c r="C685" s="15">
        <v>2805</v>
      </c>
      <c r="D685" s="15">
        <v>27490</v>
      </c>
      <c r="E685" s="15">
        <v>111295</v>
      </c>
      <c r="F685" s="15">
        <v>1606642</v>
      </c>
      <c r="G685" s="15">
        <v>0</v>
      </c>
      <c r="H685" s="15">
        <v>0</v>
      </c>
      <c r="I685" s="15">
        <v>122000</v>
      </c>
    </row>
    <row r="686" spans="2:9" x14ac:dyDescent="0.3">
      <c r="B686" s="14" t="s">
        <v>28</v>
      </c>
      <c r="C686" s="15">
        <v>46576</v>
      </c>
      <c r="D686" s="15">
        <v>16331781</v>
      </c>
      <c r="E686" s="15">
        <v>28594</v>
      </c>
      <c r="F686" s="15">
        <v>10193250</v>
      </c>
      <c r="G686" s="15">
        <v>0</v>
      </c>
      <c r="H686" s="15">
        <v>21500</v>
      </c>
      <c r="I686" s="15">
        <v>7050</v>
      </c>
    </row>
    <row r="687" spans="2:9" ht="15.6" x14ac:dyDescent="0.3">
      <c r="B687" s="16" t="s">
        <v>29</v>
      </c>
      <c r="C687" s="16"/>
      <c r="D687" s="17">
        <f>SUM(D670:D686)</f>
        <v>87067720</v>
      </c>
      <c r="E687" s="18"/>
      <c r="F687" s="17">
        <f>SUM(F670:F686)</f>
        <v>87788280</v>
      </c>
      <c r="G687" s="17">
        <f>SUM(G670:G686)</f>
        <v>0</v>
      </c>
      <c r="H687" s="19"/>
      <c r="I687" s="19"/>
    </row>
    <row r="689" spans="2:9" ht="17.399999999999999" x14ac:dyDescent="0.3">
      <c r="B689" s="20" t="s">
        <v>73</v>
      </c>
      <c r="C689" s="20"/>
      <c r="D689" s="20"/>
      <c r="E689" s="20"/>
      <c r="F689" s="20"/>
      <c r="G689" s="20"/>
      <c r="H689" s="20"/>
      <c r="I689" s="20"/>
    </row>
    <row r="690" spans="2:9" ht="15.6" x14ac:dyDescent="0.3">
      <c r="B690" s="13" t="s">
        <v>74</v>
      </c>
      <c r="C690" s="13"/>
      <c r="D690" s="13"/>
    </row>
    <row r="691" spans="2:9" x14ac:dyDescent="0.3">
      <c r="B691" s="14" t="s">
        <v>14</v>
      </c>
      <c r="C691" s="15">
        <v>95</v>
      </c>
      <c r="D691" s="15">
        <v>18195</v>
      </c>
      <c r="E691" s="15">
        <v>2465</v>
      </c>
      <c r="F691" s="15">
        <v>528861</v>
      </c>
      <c r="G691" s="15">
        <v>0</v>
      </c>
      <c r="H691" s="15">
        <v>0</v>
      </c>
      <c r="I691" s="15">
        <v>2000</v>
      </c>
    </row>
    <row r="692" spans="2:9" x14ac:dyDescent="0.3">
      <c r="B692" s="14" t="s">
        <v>15</v>
      </c>
      <c r="C692" s="15">
        <v>580</v>
      </c>
      <c r="D692" s="15">
        <v>144905</v>
      </c>
      <c r="E692" s="15">
        <v>0</v>
      </c>
      <c r="F692" s="15">
        <v>0</v>
      </c>
      <c r="G692" s="15">
        <v>0</v>
      </c>
      <c r="H692" s="15">
        <v>500</v>
      </c>
      <c r="I692" s="15">
        <v>0</v>
      </c>
    </row>
    <row r="693" spans="2:9" x14ac:dyDescent="0.3">
      <c r="B693" s="14" t="s">
        <v>16</v>
      </c>
      <c r="C693" s="15">
        <v>4510</v>
      </c>
      <c r="D693" s="15">
        <v>1835180</v>
      </c>
      <c r="E693" s="15">
        <v>150</v>
      </c>
      <c r="F693" s="15">
        <v>64460</v>
      </c>
      <c r="G693" s="15">
        <v>0</v>
      </c>
      <c r="H693" s="15">
        <v>5500</v>
      </c>
      <c r="I693" s="15">
        <v>0</v>
      </c>
    </row>
    <row r="694" spans="2:9" x14ac:dyDescent="0.3">
      <c r="B694" s="14" t="s">
        <v>17</v>
      </c>
      <c r="C694" s="15">
        <v>37300</v>
      </c>
      <c r="D694" s="15">
        <v>540300</v>
      </c>
      <c r="E694" s="15">
        <v>58200</v>
      </c>
      <c r="F694" s="15">
        <v>876666</v>
      </c>
      <c r="G694" s="15">
        <v>149240</v>
      </c>
      <c r="H694" s="15">
        <v>0</v>
      </c>
      <c r="I694" s="15">
        <v>10000</v>
      </c>
    </row>
    <row r="695" spans="2:9" x14ac:dyDescent="0.3">
      <c r="B695" s="14" t="s">
        <v>18</v>
      </c>
      <c r="C695" s="15">
        <v>169360</v>
      </c>
      <c r="D695" s="15">
        <v>64967029</v>
      </c>
      <c r="E695" s="15">
        <v>130638</v>
      </c>
      <c r="F695" s="15">
        <v>44824932</v>
      </c>
      <c r="G695" s="15">
        <v>7501119</v>
      </c>
      <c r="H695" s="15">
        <v>44000</v>
      </c>
      <c r="I695" s="15">
        <v>16500</v>
      </c>
    </row>
    <row r="696" spans="2:9" x14ac:dyDescent="0.3">
      <c r="B696" s="14" t="s">
        <v>19</v>
      </c>
      <c r="C696" s="15">
        <v>6110</v>
      </c>
      <c r="D696" s="15">
        <v>2789645</v>
      </c>
      <c r="E696" s="15">
        <v>6575</v>
      </c>
      <c r="F696" s="15">
        <v>2979170</v>
      </c>
      <c r="G696" s="15">
        <v>158029</v>
      </c>
      <c r="H696" s="15">
        <v>4500</v>
      </c>
      <c r="I696" s="15">
        <v>4850</v>
      </c>
    </row>
    <row r="697" spans="2:9" x14ac:dyDescent="0.3">
      <c r="B697" s="14" t="s">
        <v>20</v>
      </c>
      <c r="C697" s="15">
        <v>0</v>
      </c>
      <c r="D697" s="15">
        <v>0</v>
      </c>
      <c r="E697" s="15">
        <v>0</v>
      </c>
      <c r="F697" s="15">
        <v>0</v>
      </c>
      <c r="G697" s="15">
        <v>0</v>
      </c>
      <c r="H697" s="15">
        <v>17750000</v>
      </c>
      <c r="I697" s="15">
        <v>39420810</v>
      </c>
    </row>
    <row r="698" spans="2:9" x14ac:dyDescent="0.3">
      <c r="B698" s="14" t="s">
        <v>21</v>
      </c>
      <c r="C698" s="15">
        <v>720</v>
      </c>
      <c r="D698" s="15">
        <v>63420</v>
      </c>
      <c r="E698" s="15">
        <v>0</v>
      </c>
      <c r="F698" s="15">
        <v>0</v>
      </c>
      <c r="G698" s="15">
        <v>0</v>
      </c>
      <c r="H698" s="15">
        <v>0</v>
      </c>
      <c r="I698" s="15">
        <v>0</v>
      </c>
    </row>
    <row r="699" spans="2:9" x14ac:dyDescent="0.3">
      <c r="B699" s="14" t="s">
        <v>22</v>
      </c>
      <c r="C699" s="15">
        <v>0</v>
      </c>
      <c r="D699" s="15">
        <v>0</v>
      </c>
      <c r="E699" s="15">
        <v>3000</v>
      </c>
      <c r="F699" s="15">
        <v>7955</v>
      </c>
      <c r="G699" s="15">
        <v>0</v>
      </c>
      <c r="H699" s="15">
        <v>0</v>
      </c>
      <c r="I699" s="15">
        <v>0</v>
      </c>
    </row>
    <row r="700" spans="2:9" x14ac:dyDescent="0.3">
      <c r="B700" s="14" t="s">
        <v>24</v>
      </c>
      <c r="C700" s="15">
        <v>8450</v>
      </c>
      <c r="D700" s="15">
        <v>715637</v>
      </c>
      <c r="E700" s="15">
        <v>10300</v>
      </c>
      <c r="F700" s="15">
        <v>923519</v>
      </c>
      <c r="G700" s="15">
        <v>84377</v>
      </c>
      <c r="H700" s="15">
        <v>6000</v>
      </c>
      <c r="I700" s="15">
        <v>5000</v>
      </c>
    </row>
    <row r="701" spans="2:9" x14ac:dyDescent="0.3">
      <c r="B701" s="14" t="s">
        <v>25</v>
      </c>
      <c r="C701" s="15">
        <v>20179</v>
      </c>
      <c r="D701" s="15">
        <v>1485791</v>
      </c>
      <c r="E701" s="15">
        <v>45083</v>
      </c>
      <c r="F701" s="15">
        <v>2731230</v>
      </c>
      <c r="G701" s="15">
        <v>1128050</v>
      </c>
      <c r="H701" s="15">
        <v>0</v>
      </c>
      <c r="I701" s="15">
        <v>21700</v>
      </c>
    </row>
    <row r="702" spans="2:9" x14ac:dyDescent="0.3">
      <c r="B702" s="14" t="s">
        <v>26</v>
      </c>
      <c r="C702" s="15">
        <v>1820</v>
      </c>
      <c r="D702" s="15">
        <v>5460</v>
      </c>
      <c r="E702" s="15">
        <v>56000</v>
      </c>
      <c r="F702" s="15">
        <v>203999</v>
      </c>
      <c r="G702" s="15">
        <v>20000</v>
      </c>
      <c r="H702" s="15">
        <v>0</v>
      </c>
      <c r="I702" s="15">
        <v>60000</v>
      </c>
    </row>
    <row r="703" spans="2:9" x14ac:dyDescent="0.3">
      <c r="B703" s="14" t="s">
        <v>33</v>
      </c>
      <c r="C703" s="15">
        <v>0</v>
      </c>
      <c r="D703" s="15">
        <v>0</v>
      </c>
      <c r="E703" s="15">
        <v>10150</v>
      </c>
      <c r="F703" s="15">
        <v>48720</v>
      </c>
      <c r="G703" s="15">
        <v>0</v>
      </c>
      <c r="H703" s="15">
        <v>0</v>
      </c>
      <c r="I703" s="15">
        <v>0</v>
      </c>
    </row>
    <row r="704" spans="2:9" x14ac:dyDescent="0.3">
      <c r="B704" s="14" t="s">
        <v>27</v>
      </c>
      <c r="C704" s="15">
        <v>2165</v>
      </c>
      <c r="D704" s="15">
        <v>21215</v>
      </c>
      <c r="E704" s="15">
        <v>33000</v>
      </c>
      <c r="F704" s="15">
        <v>361245</v>
      </c>
      <c r="G704" s="15">
        <v>121320</v>
      </c>
      <c r="H704" s="15">
        <v>0</v>
      </c>
      <c r="I704" s="15">
        <v>29000</v>
      </c>
    </row>
    <row r="705" spans="2:9" x14ac:dyDescent="0.3">
      <c r="B705" s="14" t="s">
        <v>28</v>
      </c>
      <c r="C705" s="15">
        <v>27669</v>
      </c>
      <c r="D705" s="15">
        <v>9554258</v>
      </c>
      <c r="E705" s="15">
        <v>8785</v>
      </c>
      <c r="F705" s="15">
        <v>2599393</v>
      </c>
      <c r="G705" s="15">
        <v>580030</v>
      </c>
      <c r="H705" s="15">
        <v>18000</v>
      </c>
      <c r="I705" s="15">
        <v>800</v>
      </c>
    </row>
    <row r="706" spans="2:9" ht="15.6" x14ac:dyDescent="0.3">
      <c r="B706" s="16" t="s">
        <v>29</v>
      </c>
      <c r="C706" s="16"/>
      <c r="D706" s="17">
        <f>SUM(D691:D705)</f>
        <v>82141035</v>
      </c>
      <c r="E706" s="18"/>
      <c r="F706" s="17">
        <f>SUM(F691:F705)</f>
        <v>56150150</v>
      </c>
      <c r="G706" s="17">
        <f>SUM(G691:G705)</f>
        <v>9742165</v>
      </c>
      <c r="H706" s="19"/>
      <c r="I706" s="19"/>
    </row>
    <row r="708" spans="2:9" ht="15.6" x14ac:dyDescent="0.3">
      <c r="B708" s="13" t="s">
        <v>75</v>
      </c>
      <c r="C708" s="13"/>
      <c r="D708" s="13"/>
    </row>
    <row r="709" spans="2:9" x14ac:dyDescent="0.3">
      <c r="B709" s="14" t="s">
        <v>14</v>
      </c>
      <c r="C709" s="15">
        <v>120</v>
      </c>
      <c r="D709" s="15">
        <v>23065</v>
      </c>
      <c r="E709" s="15">
        <v>950</v>
      </c>
      <c r="F709" s="15">
        <v>181760</v>
      </c>
      <c r="G709" s="15">
        <v>21485</v>
      </c>
      <c r="H709" s="15">
        <v>0</v>
      </c>
      <c r="I709" s="15">
        <v>1000</v>
      </c>
    </row>
    <row r="710" spans="2:9" x14ac:dyDescent="0.3">
      <c r="B710" s="14" t="s">
        <v>15</v>
      </c>
      <c r="C710" s="15">
        <v>1880</v>
      </c>
      <c r="D710" s="15">
        <v>475605</v>
      </c>
      <c r="E710" s="15">
        <v>0</v>
      </c>
      <c r="F710" s="15">
        <v>0</v>
      </c>
      <c r="G710" s="15">
        <v>0</v>
      </c>
      <c r="H710" s="15">
        <v>2000</v>
      </c>
      <c r="I710" s="15">
        <v>500</v>
      </c>
    </row>
    <row r="711" spans="2:9" x14ac:dyDescent="0.3">
      <c r="B711" s="14" t="s">
        <v>16</v>
      </c>
      <c r="C711" s="15">
        <v>3810</v>
      </c>
      <c r="D711" s="15">
        <v>1568349</v>
      </c>
      <c r="E711" s="15">
        <v>600</v>
      </c>
      <c r="F711" s="15">
        <v>0</v>
      </c>
      <c r="G711" s="15">
        <v>256525</v>
      </c>
      <c r="H711" s="15">
        <v>4000</v>
      </c>
      <c r="I711" s="15">
        <v>0</v>
      </c>
    </row>
    <row r="712" spans="2:9" x14ac:dyDescent="0.3">
      <c r="B712" s="14" t="s">
        <v>17</v>
      </c>
      <c r="C712" s="15">
        <v>10600</v>
      </c>
      <c r="D712" s="15">
        <v>150459</v>
      </c>
      <c r="E712" s="15">
        <v>20600</v>
      </c>
      <c r="F712" s="15">
        <v>292270</v>
      </c>
      <c r="G712" s="15">
        <v>81750</v>
      </c>
      <c r="H712" s="15">
        <v>20000</v>
      </c>
      <c r="I712" s="15">
        <v>20000</v>
      </c>
    </row>
    <row r="713" spans="2:9" x14ac:dyDescent="0.3">
      <c r="B713" s="14" t="s">
        <v>18</v>
      </c>
      <c r="C713" s="15">
        <v>82156</v>
      </c>
      <c r="D713" s="15">
        <v>31869407</v>
      </c>
      <c r="E713" s="15">
        <v>76446</v>
      </c>
      <c r="F713" s="15">
        <v>22647860</v>
      </c>
      <c r="G713" s="15">
        <v>7723355</v>
      </c>
      <c r="H713" s="15">
        <v>42000</v>
      </c>
      <c r="I713" s="15">
        <v>31000</v>
      </c>
    </row>
    <row r="714" spans="2:9" x14ac:dyDescent="0.3">
      <c r="B714" s="14" t="s">
        <v>19</v>
      </c>
      <c r="C714" s="15">
        <v>2850</v>
      </c>
      <c r="D714" s="15">
        <v>1309190</v>
      </c>
      <c r="E714" s="15">
        <v>775</v>
      </c>
      <c r="F714" s="15">
        <v>125556</v>
      </c>
      <c r="G714" s="15">
        <v>240575</v>
      </c>
      <c r="H714" s="15">
        <v>3860</v>
      </c>
      <c r="I714" s="15">
        <v>1500</v>
      </c>
    </row>
    <row r="715" spans="2:9" x14ac:dyDescent="0.3">
      <c r="B715" s="14" t="s">
        <v>20</v>
      </c>
      <c r="C715" s="15">
        <v>0</v>
      </c>
      <c r="D715" s="15">
        <v>0</v>
      </c>
      <c r="E715" s="15">
        <v>0</v>
      </c>
      <c r="F715" s="15">
        <v>0</v>
      </c>
      <c r="G715" s="15">
        <v>0</v>
      </c>
      <c r="H715" s="15">
        <v>4200000</v>
      </c>
      <c r="I715" s="15">
        <v>19962870</v>
      </c>
    </row>
    <row r="716" spans="2:9" x14ac:dyDescent="0.3">
      <c r="B716" s="14" t="s">
        <v>22</v>
      </c>
      <c r="C716" s="15">
        <v>0</v>
      </c>
      <c r="D716" s="15">
        <v>0</v>
      </c>
      <c r="E716" s="15">
        <v>18000</v>
      </c>
      <c r="F716" s="15">
        <v>47720</v>
      </c>
      <c r="G716" s="15">
        <v>0</v>
      </c>
      <c r="H716" s="15">
        <v>0</v>
      </c>
      <c r="I716" s="15">
        <v>0</v>
      </c>
    </row>
    <row r="717" spans="2:9" x14ac:dyDescent="0.3">
      <c r="B717" s="14" t="s">
        <v>24</v>
      </c>
      <c r="C717" s="15">
        <v>6810</v>
      </c>
      <c r="D717" s="15">
        <v>577444</v>
      </c>
      <c r="E717" s="15">
        <v>2140</v>
      </c>
      <c r="F717" s="15">
        <v>160920</v>
      </c>
      <c r="G717" s="15">
        <v>48835</v>
      </c>
      <c r="H717" s="15">
        <v>7000</v>
      </c>
      <c r="I717" s="15">
        <v>0</v>
      </c>
    </row>
    <row r="718" spans="2:9" x14ac:dyDescent="0.3">
      <c r="B718" s="14" t="s">
        <v>25</v>
      </c>
      <c r="C718" s="15">
        <v>5630</v>
      </c>
      <c r="D718" s="15">
        <v>414604</v>
      </c>
      <c r="E718" s="15">
        <v>8457</v>
      </c>
      <c r="F718" s="15">
        <v>580790</v>
      </c>
      <c r="G718" s="15">
        <v>144655</v>
      </c>
      <c r="H718" s="15">
        <v>0</v>
      </c>
      <c r="I718" s="15">
        <v>5000</v>
      </c>
    </row>
    <row r="719" spans="2:9" x14ac:dyDescent="0.3">
      <c r="B719" s="14" t="s">
        <v>26</v>
      </c>
      <c r="C719" s="15">
        <v>1300</v>
      </c>
      <c r="D719" s="15">
        <v>3900</v>
      </c>
      <c r="E719" s="15">
        <v>8300</v>
      </c>
      <c r="F719" s="15">
        <v>33201</v>
      </c>
      <c r="G719" s="15">
        <v>0</v>
      </c>
      <c r="H719" s="15">
        <v>0</v>
      </c>
      <c r="I719" s="15">
        <v>0</v>
      </c>
    </row>
    <row r="720" spans="2:9" x14ac:dyDescent="0.3">
      <c r="B720" s="14" t="s">
        <v>27</v>
      </c>
      <c r="C720" s="15">
        <v>8030</v>
      </c>
      <c r="D720" s="15">
        <v>78691</v>
      </c>
      <c r="E720" s="15">
        <v>34380</v>
      </c>
      <c r="F720" s="15">
        <v>419111</v>
      </c>
      <c r="G720" s="15">
        <v>84800</v>
      </c>
      <c r="H720" s="15">
        <v>0</v>
      </c>
      <c r="I720" s="15">
        <v>36000</v>
      </c>
    </row>
    <row r="721" spans="2:9" x14ac:dyDescent="0.3">
      <c r="B721" s="14" t="s">
        <v>28</v>
      </c>
      <c r="C721" s="15">
        <v>9960</v>
      </c>
      <c r="D721" s="15">
        <v>3470306</v>
      </c>
      <c r="E721" s="15">
        <v>11899</v>
      </c>
      <c r="F721" s="15">
        <v>1577777</v>
      </c>
      <c r="G721" s="15">
        <v>2715580</v>
      </c>
      <c r="H721" s="15">
        <v>0</v>
      </c>
      <c r="I721" s="15">
        <v>5100</v>
      </c>
    </row>
    <row r="722" spans="2:9" ht="15.6" x14ac:dyDescent="0.3">
      <c r="B722" s="16" t="s">
        <v>29</v>
      </c>
      <c r="C722" s="16"/>
      <c r="D722" s="17">
        <f>SUM(D709:D721)</f>
        <v>39941020</v>
      </c>
      <c r="E722" s="18"/>
      <c r="F722" s="17">
        <f>SUM(F709:F721)</f>
        <v>26066965</v>
      </c>
      <c r="G722" s="17">
        <f>SUM(G709:G721)</f>
        <v>11317560</v>
      </c>
      <c r="H722" s="19"/>
      <c r="I722" s="19"/>
    </row>
    <row r="724" spans="2:9" ht="15.6" x14ac:dyDescent="0.3">
      <c r="B724" s="13" t="s">
        <v>76</v>
      </c>
      <c r="C724" s="13"/>
      <c r="D724" s="13"/>
    </row>
    <row r="725" spans="2:9" x14ac:dyDescent="0.3">
      <c r="B725" s="14" t="s">
        <v>12</v>
      </c>
      <c r="C725" s="15">
        <v>50</v>
      </c>
      <c r="D725" s="15">
        <v>11405</v>
      </c>
      <c r="E725" s="15">
        <v>0</v>
      </c>
      <c r="F725" s="15">
        <v>0</v>
      </c>
      <c r="G725" s="15">
        <v>0</v>
      </c>
      <c r="H725" s="15">
        <v>0</v>
      </c>
      <c r="I725" s="15">
        <v>0</v>
      </c>
    </row>
    <row r="726" spans="2:9" x14ac:dyDescent="0.3">
      <c r="B726" s="14" t="s">
        <v>14</v>
      </c>
      <c r="C726" s="15">
        <v>0</v>
      </c>
      <c r="D726" s="15">
        <v>0</v>
      </c>
      <c r="E726" s="15">
        <v>1805</v>
      </c>
      <c r="F726" s="15">
        <v>342426</v>
      </c>
      <c r="G726" s="15">
        <v>42835</v>
      </c>
      <c r="H726" s="15">
        <v>0</v>
      </c>
      <c r="I726" s="15">
        <v>1000</v>
      </c>
    </row>
    <row r="727" spans="2:9" x14ac:dyDescent="0.3">
      <c r="B727" s="14" t="s">
        <v>15</v>
      </c>
      <c r="C727" s="15">
        <v>20</v>
      </c>
      <c r="D727" s="15">
        <v>4990</v>
      </c>
      <c r="E727" s="15">
        <v>220</v>
      </c>
      <c r="F727" s="15">
        <v>59970</v>
      </c>
      <c r="G727" s="15">
        <v>0</v>
      </c>
      <c r="H727" s="15">
        <v>0</v>
      </c>
      <c r="I727" s="15">
        <v>0</v>
      </c>
    </row>
    <row r="728" spans="2:9" x14ac:dyDescent="0.3">
      <c r="B728" s="14" t="s">
        <v>16</v>
      </c>
      <c r="C728" s="15">
        <v>5410</v>
      </c>
      <c r="D728" s="15">
        <v>2203360</v>
      </c>
      <c r="E728" s="15">
        <v>710</v>
      </c>
      <c r="F728" s="15">
        <v>240655</v>
      </c>
      <c r="G728" s="15">
        <v>64850</v>
      </c>
      <c r="H728" s="15">
        <v>5500</v>
      </c>
      <c r="I728" s="15">
        <v>0</v>
      </c>
    </row>
    <row r="729" spans="2:9" x14ac:dyDescent="0.3">
      <c r="B729" s="14" t="s">
        <v>17</v>
      </c>
      <c r="C729" s="15">
        <v>2000</v>
      </c>
      <c r="D729" s="15">
        <v>29020</v>
      </c>
      <c r="E729" s="15">
        <v>25300</v>
      </c>
      <c r="F729" s="15">
        <v>170803</v>
      </c>
      <c r="G729" s="15">
        <v>289936</v>
      </c>
      <c r="H729" s="15">
        <v>0</v>
      </c>
      <c r="I729" s="15">
        <v>30000</v>
      </c>
    </row>
    <row r="730" spans="2:9" x14ac:dyDescent="0.3">
      <c r="B730" s="14" t="s">
        <v>18</v>
      </c>
      <c r="C730" s="15">
        <v>85806</v>
      </c>
      <c r="D730" s="15">
        <v>32929027</v>
      </c>
      <c r="E730" s="15">
        <v>55179</v>
      </c>
      <c r="F730" s="15">
        <v>16856935</v>
      </c>
      <c r="G730" s="15">
        <v>5253344</v>
      </c>
      <c r="H730" s="15">
        <v>32000</v>
      </c>
      <c r="I730" s="15">
        <v>2120</v>
      </c>
    </row>
    <row r="731" spans="2:9" x14ac:dyDescent="0.3">
      <c r="B731" s="14" t="s">
        <v>19</v>
      </c>
      <c r="C731" s="15">
        <v>2120</v>
      </c>
      <c r="D731" s="15">
        <v>967115</v>
      </c>
      <c r="E731" s="15">
        <v>675</v>
      </c>
      <c r="F731" s="15">
        <v>121477</v>
      </c>
      <c r="G731" s="15">
        <v>200530</v>
      </c>
      <c r="H731" s="15">
        <v>2800</v>
      </c>
      <c r="I731" s="15">
        <v>0</v>
      </c>
    </row>
    <row r="732" spans="2:9" x14ac:dyDescent="0.3">
      <c r="B732" s="14" t="s">
        <v>20</v>
      </c>
      <c r="C732" s="15">
        <v>0</v>
      </c>
      <c r="D732" s="15">
        <v>0</v>
      </c>
      <c r="E732" s="15">
        <v>0</v>
      </c>
      <c r="F732" s="15">
        <v>0</v>
      </c>
      <c r="G732" s="15">
        <v>0</v>
      </c>
      <c r="H732" s="15">
        <v>9500000</v>
      </c>
      <c r="I732" s="15">
        <v>28382930</v>
      </c>
    </row>
    <row r="733" spans="2:9" x14ac:dyDescent="0.3">
      <c r="B733" s="14" t="s">
        <v>21</v>
      </c>
      <c r="C733" s="15">
        <v>0</v>
      </c>
      <c r="D733" s="15">
        <v>0</v>
      </c>
      <c r="E733" s="15">
        <v>20</v>
      </c>
      <c r="F733" s="15">
        <v>2112</v>
      </c>
      <c r="G733" s="15">
        <v>0</v>
      </c>
      <c r="H733" s="15">
        <v>0</v>
      </c>
      <c r="I733" s="15">
        <v>0</v>
      </c>
    </row>
    <row r="734" spans="2:9" x14ac:dyDescent="0.3">
      <c r="B734" s="14" t="s">
        <v>24</v>
      </c>
      <c r="C734" s="15">
        <v>1410</v>
      </c>
      <c r="D734" s="15">
        <v>119449</v>
      </c>
      <c r="E734" s="15">
        <v>8080</v>
      </c>
      <c r="F734" s="15">
        <v>696839</v>
      </c>
      <c r="G734" s="15">
        <v>91765</v>
      </c>
      <c r="H734" s="15">
        <v>0</v>
      </c>
      <c r="I734" s="15">
        <v>10000</v>
      </c>
    </row>
    <row r="735" spans="2:9" x14ac:dyDescent="0.3">
      <c r="B735" s="14" t="s">
        <v>25</v>
      </c>
      <c r="C735" s="15">
        <v>10788</v>
      </c>
      <c r="D735" s="15">
        <v>794030</v>
      </c>
      <c r="E735" s="15">
        <v>15536</v>
      </c>
      <c r="F735" s="15">
        <v>1100578</v>
      </c>
      <c r="G735" s="15">
        <v>227575</v>
      </c>
      <c r="H735" s="15">
        <v>0</v>
      </c>
      <c r="I735" s="15">
        <v>0</v>
      </c>
    </row>
    <row r="736" spans="2:9" x14ac:dyDescent="0.3">
      <c r="B736" s="14" t="s">
        <v>26</v>
      </c>
      <c r="C736" s="15">
        <v>100</v>
      </c>
      <c r="D736" s="15">
        <v>301</v>
      </c>
      <c r="E736" s="15">
        <v>38270</v>
      </c>
      <c r="F736" s="15">
        <v>153080</v>
      </c>
      <c r="G736" s="15">
        <v>0</v>
      </c>
      <c r="H736" s="15">
        <v>0</v>
      </c>
      <c r="I736" s="15">
        <v>30000</v>
      </c>
    </row>
    <row r="737" spans="2:9" x14ac:dyDescent="0.3">
      <c r="B737" s="14" t="s">
        <v>27</v>
      </c>
      <c r="C737" s="15">
        <v>0</v>
      </c>
      <c r="D737" s="15">
        <v>0</v>
      </c>
      <c r="E737" s="15">
        <v>17200</v>
      </c>
      <c r="F737" s="15">
        <v>245621</v>
      </c>
      <c r="G737" s="15">
        <v>0</v>
      </c>
      <c r="H737" s="15">
        <v>0</v>
      </c>
      <c r="I737" s="15">
        <v>20000</v>
      </c>
    </row>
    <row r="738" spans="2:9" x14ac:dyDescent="0.3">
      <c r="B738" s="14" t="s">
        <v>28</v>
      </c>
      <c r="C738" s="15">
        <v>10717</v>
      </c>
      <c r="D738" s="15">
        <v>3716123</v>
      </c>
      <c r="E738" s="15">
        <v>14197</v>
      </c>
      <c r="F738" s="15">
        <v>4206114</v>
      </c>
      <c r="G738" s="15">
        <v>932540</v>
      </c>
      <c r="H738" s="15">
        <v>3000</v>
      </c>
      <c r="I738" s="15">
        <v>6200</v>
      </c>
    </row>
    <row r="739" spans="2:9" ht="15.6" x14ac:dyDescent="0.3">
      <c r="B739" s="16" t="s">
        <v>29</v>
      </c>
      <c r="C739" s="16"/>
      <c r="D739" s="17">
        <f>SUM(D725:D738)</f>
        <v>40774820</v>
      </c>
      <c r="E739" s="18"/>
      <c r="F739" s="17">
        <f>SUM(F725:F738)</f>
        <v>24196610</v>
      </c>
      <c r="G739" s="17">
        <f>SUM(G725:G738)</f>
        <v>7103375</v>
      </c>
      <c r="H739" s="19"/>
      <c r="I739" s="19"/>
    </row>
    <row r="741" spans="2:9" ht="15.6" x14ac:dyDescent="0.3">
      <c r="B741" s="13" t="s">
        <v>77</v>
      </c>
      <c r="C741" s="13"/>
      <c r="D741" s="13"/>
    </row>
    <row r="742" spans="2:9" x14ac:dyDescent="0.3">
      <c r="B742" s="14" t="s">
        <v>12</v>
      </c>
      <c r="C742" s="15">
        <v>0</v>
      </c>
      <c r="D742" s="15">
        <v>0</v>
      </c>
      <c r="E742" s="15">
        <v>0</v>
      </c>
      <c r="F742" s="15">
        <v>0</v>
      </c>
      <c r="G742" s="15">
        <v>0</v>
      </c>
      <c r="H742" s="15">
        <v>5400</v>
      </c>
      <c r="I742" s="15">
        <v>2200</v>
      </c>
    </row>
    <row r="743" spans="2:9" x14ac:dyDescent="0.3">
      <c r="B743" s="14" t="s">
        <v>14</v>
      </c>
      <c r="C743" s="15">
        <v>0</v>
      </c>
      <c r="D743" s="15">
        <v>0</v>
      </c>
      <c r="E743" s="15">
        <v>0</v>
      </c>
      <c r="F743" s="15">
        <v>0</v>
      </c>
      <c r="G743" s="15">
        <v>0</v>
      </c>
      <c r="H743" s="15">
        <v>8000</v>
      </c>
      <c r="I743" s="15">
        <v>5500</v>
      </c>
    </row>
    <row r="744" spans="2:9" x14ac:dyDescent="0.3">
      <c r="B744" s="14" t="s">
        <v>15</v>
      </c>
      <c r="C744" s="15">
        <v>0</v>
      </c>
      <c r="D744" s="15">
        <v>0</v>
      </c>
      <c r="E744" s="15">
        <v>0</v>
      </c>
      <c r="F744" s="15">
        <v>0</v>
      </c>
      <c r="G744" s="15">
        <v>0</v>
      </c>
      <c r="H744" s="15">
        <v>5600</v>
      </c>
      <c r="I744" s="15">
        <v>4200</v>
      </c>
    </row>
    <row r="745" spans="2:9" x14ac:dyDescent="0.3">
      <c r="B745" s="14" t="s">
        <v>16</v>
      </c>
      <c r="C745" s="15">
        <v>0</v>
      </c>
      <c r="D745" s="15">
        <v>0</v>
      </c>
      <c r="E745" s="15">
        <v>0</v>
      </c>
      <c r="F745" s="15">
        <v>0</v>
      </c>
      <c r="G745" s="15">
        <v>0</v>
      </c>
      <c r="H745" s="15">
        <v>80000</v>
      </c>
      <c r="I745" s="15">
        <v>80600</v>
      </c>
    </row>
    <row r="746" spans="2:9" x14ac:dyDescent="0.3">
      <c r="B746" s="14" t="s">
        <v>32</v>
      </c>
      <c r="C746" s="15">
        <v>0</v>
      </c>
      <c r="D746" s="15">
        <v>0</v>
      </c>
      <c r="E746" s="15">
        <v>0</v>
      </c>
      <c r="F746" s="15">
        <v>0</v>
      </c>
      <c r="G746" s="15">
        <v>0</v>
      </c>
      <c r="H746" s="15">
        <v>1200</v>
      </c>
      <c r="I746" s="15">
        <v>1200</v>
      </c>
    </row>
    <row r="747" spans="2:9" x14ac:dyDescent="0.3">
      <c r="B747" s="14" t="s">
        <v>17</v>
      </c>
      <c r="C747" s="15">
        <v>0</v>
      </c>
      <c r="D747" s="15">
        <v>0</v>
      </c>
      <c r="E747" s="15">
        <v>0</v>
      </c>
      <c r="F747" s="15">
        <v>0</v>
      </c>
      <c r="G747" s="15">
        <v>0</v>
      </c>
      <c r="H747" s="15">
        <v>449000</v>
      </c>
      <c r="I747" s="15">
        <v>173000</v>
      </c>
    </row>
    <row r="748" spans="2:9" x14ac:dyDescent="0.3">
      <c r="B748" s="14" t="s">
        <v>18</v>
      </c>
      <c r="C748" s="15">
        <v>0</v>
      </c>
      <c r="D748" s="15">
        <v>0</v>
      </c>
      <c r="E748" s="15">
        <v>0</v>
      </c>
      <c r="F748" s="15">
        <v>0</v>
      </c>
      <c r="G748" s="15">
        <v>0</v>
      </c>
      <c r="H748" s="15">
        <v>752490</v>
      </c>
      <c r="I748" s="15">
        <v>662650</v>
      </c>
    </row>
    <row r="749" spans="2:9" x14ac:dyDescent="0.3">
      <c r="B749" s="14" t="s">
        <v>19</v>
      </c>
      <c r="C749" s="15">
        <v>0</v>
      </c>
      <c r="D749" s="15">
        <v>0</v>
      </c>
      <c r="E749" s="15">
        <v>0</v>
      </c>
      <c r="F749" s="15">
        <v>0</v>
      </c>
      <c r="G749" s="15">
        <v>0</v>
      </c>
      <c r="H749" s="15">
        <v>74360</v>
      </c>
      <c r="I749" s="15">
        <v>69460</v>
      </c>
    </row>
    <row r="750" spans="2:9" x14ac:dyDescent="0.3">
      <c r="B750" s="14" t="s">
        <v>20</v>
      </c>
      <c r="C750" s="15">
        <v>0</v>
      </c>
      <c r="D750" s="15">
        <v>0</v>
      </c>
      <c r="E750" s="15">
        <v>0</v>
      </c>
      <c r="F750" s="15">
        <v>0</v>
      </c>
      <c r="G750" s="15">
        <v>0</v>
      </c>
      <c r="H750" s="15">
        <v>434655855</v>
      </c>
      <c r="I750" s="15">
        <v>465071745</v>
      </c>
    </row>
    <row r="751" spans="2:9" x14ac:dyDescent="0.3">
      <c r="B751" s="14" t="s">
        <v>22</v>
      </c>
      <c r="C751" s="15">
        <v>0</v>
      </c>
      <c r="D751" s="15">
        <v>0</v>
      </c>
      <c r="E751" s="15">
        <v>0</v>
      </c>
      <c r="F751" s="15">
        <v>0</v>
      </c>
      <c r="G751" s="15">
        <v>0</v>
      </c>
      <c r="H751" s="15">
        <v>200000</v>
      </c>
      <c r="I751" s="15">
        <v>0</v>
      </c>
    </row>
    <row r="752" spans="2:9" x14ac:dyDescent="0.3">
      <c r="B752" s="14" t="s">
        <v>23</v>
      </c>
      <c r="C752" s="15">
        <v>0</v>
      </c>
      <c r="D752" s="15">
        <v>0</v>
      </c>
      <c r="E752" s="15">
        <v>0</v>
      </c>
      <c r="F752" s="15">
        <v>0</v>
      </c>
      <c r="G752" s="15">
        <v>0</v>
      </c>
      <c r="H752" s="15">
        <v>800</v>
      </c>
      <c r="I752" s="15">
        <v>0</v>
      </c>
    </row>
    <row r="753" spans="2:9" x14ac:dyDescent="0.3">
      <c r="B753" s="14" t="s">
        <v>24</v>
      </c>
      <c r="C753" s="15">
        <v>0</v>
      </c>
      <c r="D753" s="15">
        <v>0</v>
      </c>
      <c r="E753" s="15">
        <v>0</v>
      </c>
      <c r="F753" s="15">
        <v>0</v>
      </c>
      <c r="G753" s="15">
        <v>0</v>
      </c>
      <c r="H753" s="15">
        <v>81000</v>
      </c>
      <c r="I753" s="15">
        <v>68000</v>
      </c>
    </row>
    <row r="754" spans="2:9" x14ac:dyDescent="0.3">
      <c r="B754" s="14" t="s">
        <v>25</v>
      </c>
      <c r="C754" s="15">
        <v>0</v>
      </c>
      <c r="D754" s="15">
        <v>0</v>
      </c>
      <c r="E754" s="15">
        <v>0</v>
      </c>
      <c r="F754" s="15">
        <v>0</v>
      </c>
      <c r="G754" s="15">
        <v>0</v>
      </c>
      <c r="H754" s="15">
        <v>99800</v>
      </c>
      <c r="I754" s="15">
        <v>136000</v>
      </c>
    </row>
    <row r="755" spans="2:9" x14ac:dyDescent="0.3">
      <c r="B755" s="14" t="s">
        <v>26</v>
      </c>
      <c r="C755" s="15">
        <v>0</v>
      </c>
      <c r="D755" s="15">
        <v>0</v>
      </c>
      <c r="E755" s="15">
        <v>0</v>
      </c>
      <c r="F755" s="15">
        <v>0</v>
      </c>
      <c r="G755" s="15">
        <v>0</v>
      </c>
      <c r="H755" s="15">
        <v>120000</v>
      </c>
      <c r="I755" s="15">
        <v>0</v>
      </c>
    </row>
    <row r="756" spans="2:9" x14ac:dyDescent="0.3">
      <c r="B756" s="14" t="s">
        <v>33</v>
      </c>
      <c r="C756" s="15">
        <v>0</v>
      </c>
      <c r="D756" s="15">
        <v>0</v>
      </c>
      <c r="E756" s="15">
        <v>0</v>
      </c>
      <c r="F756" s="15">
        <v>0</v>
      </c>
      <c r="G756" s="15">
        <v>0</v>
      </c>
      <c r="H756" s="15">
        <v>0</v>
      </c>
      <c r="I756" s="15">
        <v>200000</v>
      </c>
    </row>
    <row r="757" spans="2:9" x14ac:dyDescent="0.3">
      <c r="B757" s="14" t="s">
        <v>27</v>
      </c>
      <c r="C757" s="15">
        <v>0</v>
      </c>
      <c r="D757" s="15">
        <v>0</v>
      </c>
      <c r="E757" s="15">
        <v>0</v>
      </c>
      <c r="F757" s="15">
        <v>0</v>
      </c>
      <c r="G757" s="15">
        <v>0</v>
      </c>
      <c r="H757" s="15">
        <v>188000</v>
      </c>
      <c r="I757" s="15">
        <v>198000</v>
      </c>
    </row>
    <row r="758" spans="2:9" x14ac:dyDescent="0.3">
      <c r="B758" s="14" t="s">
        <v>28</v>
      </c>
      <c r="C758" s="15">
        <v>0</v>
      </c>
      <c r="D758" s="15">
        <v>0</v>
      </c>
      <c r="E758" s="15">
        <v>0</v>
      </c>
      <c r="F758" s="15">
        <v>0</v>
      </c>
      <c r="G758" s="15">
        <v>0</v>
      </c>
      <c r="H758" s="15">
        <v>97400</v>
      </c>
      <c r="I758" s="15">
        <v>97800</v>
      </c>
    </row>
    <row r="759" spans="2:9" ht="15.6" x14ac:dyDescent="0.3">
      <c r="B759" s="16" t="s">
        <v>29</v>
      </c>
      <c r="C759" s="16"/>
      <c r="D759" s="17">
        <f>SUM(D742:D758)</f>
        <v>0</v>
      </c>
      <c r="E759" s="18"/>
      <c r="F759" s="17">
        <f>SUM(F742:F758)</f>
        <v>0</v>
      </c>
      <c r="G759" s="17">
        <f>SUM(G742:G758)</f>
        <v>0</v>
      </c>
      <c r="H759" s="19"/>
      <c r="I759" s="19"/>
    </row>
    <row r="761" spans="2:9" ht="15.6" x14ac:dyDescent="0.3">
      <c r="B761" s="13" t="s">
        <v>78</v>
      </c>
      <c r="C761" s="13"/>
      <c r="D761" s="13"/>
    </row>
    <row r="762" spans="2:9" x14ac:dyDescent="0.3">
      <c r="B762" s="14" t="s">
        <v>12</v>
      </c>
      <c r="C762" s="15">
        <v>200</v>
      </c>
      <c r="D762" s="15">
        <v>46520</v>
      </c>
      <c r="E762" s="15">
        <v>0</v>
      </c>
      <c r="F762" s="15">
        <v>0</v>
      </c>
      <c r="G762" s="15">
        <v>0</v>
      </c>
      <c r="H762" s="15">
        <v>0</v>
      </c>
      <c r="I762" s="15">
        <v>0</v>
      </c>
    </row>
    <row r="763" spans="2:9" x14ac:dyDescent="0.3">
      <c r="B763" s="14" t="s">
        <v>14</v>
      </c>
      <c r="C763" s="15">
        <v>65</v>
      </c>
      <c r="D763" s="15">
        <v>12400</v>
      </c>
      <c r="E763" s="15">
        <v>1950</v>
      </c>
      <c r="F763" s="15">
        <v>385990</v>
      </c>
      <c r="G763" s="15">
        <v>32265</v>
      </c>
      <c r="H763" s="15">
        <v>0</v>
      </c>
      <c r="I763" s="15">
        <v>1000</v>
      </c>
    </row>
    <row r="764" spans="2:9" x14ac:dyDescent="0.3">
      <c r="B764" s="14" t="s">
        <v>15</v>
      </c>
      <c r="C764" s="15">
        <v>60</v>
      </c>
      <c r="D764" s="15">
        <v>14776</v>
      </c>
      <c r="E764" s="15">
        <v>0</v>
      </c>
      <c r="F764" s="15">
        <v>0</v>
      </c>
      <c r="G764" s="15">
        <v>0</v>
      </c>
      <c r="H764" s="15">
        <v>0</v>
      </c>
      <c r="I764" s="15">
        <v>0</v>
      </c>
    </row>
    <row r="765" spans="2:9" x14ac:dyDescent="0.3">
      <c r="B765" s="14" t="s">
        <v>16</v>
      </c>
      <c r="C765" s="15">
        <v>10660</v>
      </c>
      <c r="D765" s="15">
        <v>4375894</v>
      </c>
      <c r="E765" s="15">
        <v>1480</v>
      </c>
      <c r="F765" s="15">
        <v>545530</v>
      </c>
      <c r="G765" s="15">
        <v>85996</v>
      </c>
      <c r="H765" s="15">
        <v>5000</v>
      </c>
      <c r="I765" s="15">
        <v>1000</v>
      </c>
    </row>
    <row r="766" spans="2:9" x14ac:dyDescent="0.3">
      <c r="B766" s="14" t="s">
        <v>17</v>
      </c>
      <c r="C766" s="15">
        <v>20800</v>
      </c>
      <c r="D766" s="15">
        <v>294130</v>
      </c>
      <c r="E766" s="15">
        <v>8000</v>
      </c>
      <c r="F766" s="15">
        <v>108835</v>
      </c>
      <c r="G766" s="15">
        <v>36350</v>
      </c>
      <c r="H766" s="15">
        <v>21000</v>
      </c>
      <c r="I766" s="15">
        <v>0</v>
      </c>
    </row>
    <row r="767" spans="2:9" x14ac:dyDescent="0.3">
      <c r="B767" s="14" t="s">
        <v>18</v>
      </c>
      <c r="C767" s="15">
        <v>136167</v>
      </c>
      <c r="D767" s="15">
        <v>52424901</v>
      </c>
      <c r="E767" s="15">
        <v>54030</v>
      </c>
      <c r="F767" s="15">
        <v>18710414</v>
      </c>
      <c r="G767" s="15">
        <v>2934179</v>
      </c>
      <c r="H767" s="15">
        <v>113650</v>
      </c>
      <c r="I767" s="15">
        <v>21000</v>
      </c>
    </row>
    <row r="768" spans="2:9" x14ac:dyDescent="0.3">
      <c r="B768" s="14" t="s">
        <v>19</v>
      </c>
      <c r="C768" s="15">
        <v>10830</v>
      </c>
      <c r="D768" s="15">
        <v>4951725</v>
      </c>
      <c r="E768" s="15">
        <v>1535</v>
      </c>
      <c r="F768" s="15">
        <v>596355</v>
      </c>
      <c r="G768" s="15">
        <v>134480</v>
      </c>
      <c r="H768" s="15">
        <v>10000</v>
      </c>
      <c r="I768" s="15">
        <v>500</v>
      </c>
    </row>
    <row r="769" spans="2:9" x14ac:dyDescent="0.3">
      <c r="B769" s="14" t="s">
        <v>20</v>
      </c>
      <c r="C769" s="15">
        <v>0</v>
      </c>
      <c r="D769" s="15">
        <v>0</v>
      </c>
      <c r="E769" s="15">
        <v>0</v>
      </c>
      <c r="F769" s="15">
        <v>0</v>
      </c>
      <c r="G769" s="15">
        <v>0</v>
      </c>
      <c r="H769" s="15">
        <v>16380000</v>
      </c>
      <c r="I769" s="15">
        <v>61026560</v>
      </c>
    </row>
    <row r="770" spans="2:9" x14ac:dyDescent="0.3">
      <c r="B770" s="14" t="s">
        <v>24</v>
      </c>
      <c r="C770" s="15">
        <v>1560</v>
      </c>
      <c r="D770" s="15">
        <v>132787</v>
      </c>
      <c r="E770" s="15">
        <v>750</v>
      </c>
      <c r="F770" s="15">
        <v>31325</v>
      </c>
      <c r="G770" s="15">
        <v>42065</v>
      </c>
      <c r="H770" s="15">
        <v>0</v>
      </c>
      <c r="I770" s="15">
        <v>0</v>
      </c>
    </row>
    <row r="771" spans="2:9" x14ac:dyDescent="0.3">
      <c r="B771" s="14" t="s">
        <v>25</v>
      </c>
      <c r="C771" s="15">
        <v>9089</v>
      </c>
      <c r="D771" s="15">
        <v>668744</v>
      </c>
      <c r="E771" s="15">
        <v>10838</v>
      </c>
      <c r="F771" s="15">
        <v>782445</v>
      </c>
      <c r="G771" s="15">
        <v>145860</v>
      </c>
      <c r="H771" s="15">
        <v>0</v>
      </c>
      <c r="I771" s="15">
        <v>0</v>
      </c>
    </row>
    <row r="772" spans="2:9" x14ac:dyDescent="0.3">
      <c r="B772" s="14" t="s">
        <v>26</v>
      </c>
      <c r="C772" s="15">
        <v>0</v>
      </c>
      <c r="D772" s="15">
        <v>0</v>
      </c>
      <c r="E772" s="15">
        <v>6000</v>
      </c>
      <c r="F772" s="15">
        <v>22140</v>
      </c>
      <c r="G772" s="15">
        <v>0</v>
      </c>
      <c r="H772" s="15">
        <v>0</v>
      </c>
      <c r="I772" s="15">
        <v>0</v>
      </c>
    </row>
    <row r="773" spans="2:9" x14ac:dyDescent="0.3">
      <c r="B773" s="14" t="s">
        <v>33</v>
      </c>
      <c r="C773" s="15">
        <v>0</v>
      </c>
      <c r="D773" s="15">
        <v>0</v>
      </c>
      <c r="E773" s="15">
        <v>0</v>
      </c>
      <c r="F773" s="15">
        <v>0</v>
      </c>
      <c r="G773" s="15">
        <v>0</v>
      </c>
      <c r="H773" s="15">
        <v>30000</v>
      </c>
      <c r="I773" s="15">
        <v>0</v>
      </c>
    </row>
    <row r="774" spans="2:9" x14ac:dyDescent="0.3">
      <c r="B774" s="14" t="s">
        <v>27</v>
      </c>
      <c r="C774" s="15">
        <v>0</v>
      </c>
      <c r="D774" s="15">
        <v>0</v>
      </c>
      <c r="E774" s="15">
        <v>21000</v>
      </c>
      <c r="F774" s="15">
        <v>189470</v>
      </c>
      <c r="G774" s="15">
        <v>113295</v>
      </c>
      <c r="H774" s="15">
        <v>5000</v>
      </c>
      <c r="I774" s="15">
        <v>25000</v>
      </c>
    </row>
    <row r="775" spans="2:9" x14ac:dyDescent="0.3">
      <c r="B775" s="14" t="s">
        <v>28</v>
      </c>
      <c r="C775" s="15">
        <v>17695</v>
      </c>
      <c r="D775" s="15">
        <v>6144843</v>
      </c>
      <c r="E775" s="15">
        <v>27246</v>
      </c>
      <c r="F775" s="15">
        <v>7616141</v>
      </c>
      <c r="G775" s="15">
        <v>2213705</v>
      </c>
      <c r="H775" s="15">
        <v>11500</v>
      </c>
      <c r="I775" s="15">
        <v>18650</v>
      </c>
    </row>
    <row r="776" spans="2:9" ht="15.6" x14ac:dyDescent="0.3">
      <c r="B776" s="16" t="s">
        <v>29</v>
      </c>
      <c r="C776" s="16"/>
      <c r="D776" s="17">
        <f>SUM(D762:D775)</f>
        <v>69066720</v>
      </c>
      <c r="E776" s="18"/>
      <c r="F776" s="17">
        <f>SUM(F762:F775)</f>
        <v>28988645</v>
      </c>
      <c r="G776" s="17">
        <f>SUM(G762:G775)</f>
        <v>5738195</v>
      </c>
      <c r="H776" s="19"/>
      <c r="I776" s="19"/>
    </row>
    <row r="778" spans="2:9" ht="15.6" x14ac:dyDescent="0.3">
      <c r="B778" s="13" t="s">
        <v>79</v>
      </c>
      <c r="C778" s="13"/>
      <c r="D778" s="13"/>
    </row>
    <row r="779" spans="2:9" x14ac:dyDescent="0.3">
      <c r="B779" s="14" t="s">
        <v>14</v>
      </c>
      <c r="C779" s="15">
        <v>415</v>
      </c>
      <c r="D779" s="15">
        <v>79165</v>
      </c>
      <c r="E779" s="15">
        <v>1565</v>
      </c>
      <c r="F779" s="15">
        <v>335255</v>
      </c>
      <c r="G779" s="15">
        <v>0</v>
      </c>
      <c r="H779" s="15">
        <v>0</v>
      </c>
      <c r="I779" s="15">
        <v>0</v>
      </c>
    </row>
    <row r="780" spans="2:9" x14ac:dyDescent="0.3">
      <c r="B780" s="14" t="s">
        <v>16</v>
      </c>
      <c r="C780" s="15">
        <v>4860</v>
      </c>
      <c r="D780" s="15">
        <v>1974410</v>
      </c>
      <c r="E780" s="15">
        <v>50</v>
      </c>
      <c r="F780" s="15">
        <v>21350</v>
      </c>
      <c r="G780" s="15">
        <v>0</v>
      </c>
      <c r="H780" s="15">
        <v>5000</v>
      </c>
      <c r="I780" s="15">
        <v>0</v>
      </c>
    </row>
    <row r="781" spans="2:9" x14ac:dyDescent="0.3">
      <c r="B781" s="14" t="s">
        <v>17</v>
      </c>
      <c r="C781" s="15">
        <v>200</v>
      </c>
      <c r="D781" s="15">
        <v>2888</v>
      </c>
      <c r="E781" s="15">
        <v>6400</v>
      </c>
      <c r="F781" s="15">
        <v>0</v>
      </c>
      <c r="G781" s="15">
        <v>116161</v>
      </c>
      <c r="H781" s="15">
        <v>0</v>
      </c>
      <c r="I781" s="15">
        <v>15000</v>
      </c>
    </row>
    <row r="782" spans="2:9" x14ac:dyDescent="0.3">
      <c r="B782" s="14" t="s">
        <v>18</v>
      </c>
      <c r="C782" s="15">
        <v>53325</v>
      </c>
      <c r="D782" s="15">
        <v>20576826</v>
      </c>
      <c r="E782" s="15">
        <v>34775</v>
      </c>
      <c r="F782" s="15">
        <v>11266085</v>
      </c>
      <c r="G782" s="15">
        <v>2684119</v>
      </c>
      <c r="H782" s="15">
        <v>11000</v>
      </c>
      <c r="I782" s="15">
        <v>0</v>
      </c>
    </row>
    <row r="783" spans="2:9" x14ac:dyDescent="0.3">
      <c r="B783" s="14" t="s">
        <v>19</v>
      </c>
      <c r="C783" s="15">
        <v>3770</v>
      </c>
      <c r="D783" s="15">
        <v>1725230</v>
      </c>
      <c r="E783" s="15">
        <v>1020</v>
      </c>
      <c r="F783" s="15">
        <v>391665</v>
      </c>
      <c r="G783" s="15">
        <v>95000</v>
      </c>
      <c r="H783" s="15">
        <v>3200</v>
      </c>
      <c r="I783" s="15">
        <v>0</v>
      </c>
    </row>
    <row r="784" spans="2:9" x14ac:dyDescent="0.3">
      <c r="B784" s="14" t="s">
        <v>20</v>
      </c>
      <c r="C784" s="15">
        <v>0</v>
      </c>
      <c r="D784" s="15">
        <v>0</v>
      </c>
      <c r="E784" s="15">
        <v>0</v>
      </c>
      <c r="F784" s="15">
        <v>0</v>
      </c>
      <c r="G784" s="15">
        <v>0</v>
      </c>
      <c r="H784" s="15">
        <v>4001000</v>
      </c>
      <c r="I784" s="15">
        <v>17148420</v>
      </c>
    </row>
    <row r="785" spans="2:9" x14ac:dyDescent="0.3">
      <c r="B785" s="14" t="s">
        <v>24</v>
      </c>
      <c r="C785" s="15">
        <v>4480</v>
      </c>
      <c r="D785" s="15">
        <v>379465</v>
      </c>
      <c r="E785" s="15">
        <v>1600</v>
      </c>
      <c r="F785" s="15">
        <v>117600</v>
      </c>
      <c r="G785" s="15">
        <v>39095</v>
      </c>
      <c r="H785" s="15">
        <v>0</v>
      </c>
      <c r="I785" s="15">
        <v>0</v>
      </c>
    </row>
    <row r="786" spans="2:9" x14ac:dyDescent="0.3">
      <c r="B786" s="14" t="s">
        <v>25</v>
      </c>
      <c r="C786" s="15">
        <v>12661</v>
      </c>
      <c r="D786" s="15">
        <v>931601</v>
      </c>
      <c r="E786" s="15">
        <v>21885</v>
      </c>
      <c r="F786" s="15">
        <v>1705585</v>
      </c>
      <c r="G786" s="15">
        <v>170380</v>
      </c>
      <c r="H786" s="15">
        <v>0</v>
      </c>
      <c r="I786" s="15">
        <v>10000</v>
      </c>
    </row>
    <row r="787" spans="2:9" x14ac:dyDescent="0.3">
      <c r="B787" s="14" t="s">
        <v>26</v>
      </c>
      <c r="C787" s="15">
        <v>12500</v>
      </c>
      <c r="D787" s="15">
        <v>37500</v>
      </c>
      <c r="E787" s="15">
        <v>10000</v>
      </c>
      <c r="F787" s="15">
        <v>30000</v>
      </c>
      <c r="G787" s="15">
        <v>9225</v>
      </c>
      <c r="H787" s="15">
        <v>0</v>
      </c>
      <c r="I787" s="15">
        <v>0</v>
      </c>
    </row>
    <row r="788" spans="2:9" x14ac:dyDescent="0.3">
      <c r="B788" s="14" t="s">
        <v>27</v>
      </c>
      <c r="C788" s="15">
        <v>0</v>
      </c>
      <c r="D788" s="15">
        <v>0</v>
      </c>
      <c r="E788" s="15">
        <v>3750</v>
      </c>
      <c r="F788" s="15">
        <v>28000</v>
      </c>
      <c r="G788" s="15">
        <v>32000</v>
      </c>
      <c r="H788" s="15">
        <v>3000</v>
      </c>
      <c r="I788" s="15">
        <v>6000</v>
      </c>
    </row>
    <row r="789" spans="2:9" x14ac:dyDescent="0.3">
      <c r="B789" s="14" t="s">
        <v>28</v>
      </c>
      <c r="C789" s="15">
        <v>17322</v>
      </c>
      <c r="D789" s="15">
        <v>6001460</v>
      </c>
      <c r="E789" s="15">
        <v>2355</v>
      </c>
      <c r="F789" s="15">
        <v>800315</v>
      </c>
      <c r="G789" s="15">
        <v>54000</v>
      </c>
      <c r="H789" s="15">
        <v>14000</v>
      </c>
      <c r="I789" s="15">
        <v>0</v>
      </c>
    </row>
    <row r="790" spans="2:9" ht="15.6" x14ac:dyDescent="0.3">
      <c r="B790" s="16" t="s">
        <v>29</v>
      </c>
      <c r="C790" s="16"/>
      <c r="D790" s="17">
        <f>SUM(D779:D789)</f>
        <v>31708545</v>
      </c>
      <c r="E790" s="18"/>
      <c r="F790" s="17">
        <f>SUM(F779:F789)</f>
        <v>14695855</v>
      </c>
      <c r="G790" s="17">
        <f>SUM(G779:G789)</f>
        <v>3199980</v>
      </c>
      <c r="H790" s="19"/>
      <c r="I790" s="19"/>
    </row>
    <row r="792" spans="2:9" ht="15.6" x14ac:dyDescent="0.3">
      <c r="B792" s="13" t="s">
        <v>80</v>
      </c>
      <c r="C792" s="13"/>
      <c r="D792" s="13"/>
    </row>
    <row r="793" spans="2:9" x14ac:dyDescent="0.3">
      <c r="B793" s="14" t="s">
        <v>12</v>
      </c>
      <c r="C793" s="15">
        <v>1045</v>
      </c>
      <c r="D793" s="15">
        <v>236845</v>
      </c>
      <c r="E793" s="15">
        <v>0</v>
      </c>
      <c r="F793" s="15">
        <v>0</v>
      </c>
      <c r="G793" s="15">
        <v>0</v>
      </c>
      <c r="H793" s="15">
        <v>2200</v>
      </c>
      <c r="I793" s="15">
        <v>0</v>
      </c>
    </row>
    <row r="794" spans="2:9" x14ac:dyDescent="0.3">
      <c r="B794" s="14" t="s">
        <v>14</v>
      </c>
      <c r="C794" s="15">
        <v>410</v>
      </c>
      <c r="D794" s="15">
        <v>75963</v>
      </c>
      <c r="E794" s="15">
        <v>250</v>
      </c>
      <c r="F794" s="15">
        <v>53245</v>
      </c>
      <c r="G794" s="15">
        <v>0</v>
      </c>
      <c r="H794" s="15">
        <v>500</v>
      </c>
      <c r="I794" s="15">
        <v>0</v>
      </c>
    </row>
    <row r="795" spans="2:9" x14ac:dyDescent="0.3">
      <c r="B795" s="14" t="s">
        <v>15</v>
      </c>
      <c r="C795" s="15">
        <v>300</v>
      </c>
      <c r="D795" s="15">
        <v>74830</v>
      </c>
      <c r="E795" s="15">
        <v>0</v>
      </c>
      <c r="F795" s="15">
        <v>0</v>
      </c>
      <c r="G795" s="15">
        <v>0</v>
      </c>
      <c r="H795" s="15">
        <v>0</v>
      </c>
      <c r="I795" s="15">
        <v>0</v>
      </c>
    </row>
    <row r="796" spans="2:9" x14ac:dyDescent="0.3">
      <c r="B796" s="14" t="s">
        <v>16</v>
      </c>
      <c r="C796" s="15">
        <v>18530</v>
      </c>
      <c r="D796" s="15">
        <v>7561246</v>
      </c>
      <c r="E796" s="15">
        <v>510</v>
      </c>
      <c r="F796" s="15">
        <v>89823</v>
      </c>
      <c r="G796" s="15">
        <v>128245</v>
      </c>
      <c r="H796" s="15">
        <v>18000</v>
      </c>
      <c r="I796" s="15">
        <v>0</v>
      </c>
    </row>
    <row r="797" spans="2:9" x14ac:dyDescent="0.3">
      <c r="B797" s="14" t="s">
        <v>17</v>
      </c>
      <c r="C797" s="15">
        <v>40200</v>
      </c>
      <c r="D797" s="15">
        <v>581313</v>
      </c>
      <c r="E797" s="15">
        <v>14500</v>
      </c>
      <c r="F797" s="15">
        <v>92225</v>
      </c>
      <c r="G797" s="15">
        <v>168900</v>
      </c>
      <c r="H797" s="15">
        <v>30000</v>
      </c>
      <c r="I797" s="15">
        <v>5000</v>
      </c>
    </row>
    <row r="798" spans="2:9" x14ac:dyDescent="0.3">
      <c r="B798" s="14" t="s">
        <v>18</v>
      </c>
      <c r="C798" s="15">
        <v>161164</v>
      </c>
      <c r="D798" s="15">
        <v>62076245</v>
      </c>
      <c r="E798" s="15">
        <v>88137</v>
      </c>
      <c r="F798" s="15">
        <v>24770551</v>
      </c>
      <c r="G798" s="15">
        <v>10488835</v>
      </c>
      <c r="H798" s="15">
        <v>95000</v>
      </c>
      <c r="I798" s="15">
        <v>23000</v>
      </c>
    </row>
    <row r="799" spans="2:9" x14ac:dyDescent="0.3">
      <c r="B799" s="14" t="s">
        <v>19</v>
      </c>
      <c r="C799" s="15">
        <v>8525</v>
      </c>
      <c r="D799" s="15">
        <v>3905683</v>
      </c>
      <c r="E799" s="15">
        <v>2255</v>
      </c>
      <c r="F799" s="15">
        <v>1003480</v>
      </c>
      <c r="G799" s="15">
        <v>71700</v>
      </c>
      <c r="H799" s="15">
        <v>8500</v>
      </c>
      <c r="I799" s="15">
        <v>500</v>
      </c>
    </row>
    <row r="800" spans="2:9" x14ac:dyDescent="0.3">
      <c r="B800" s="14" t="s">
        <v>20</v>
      </c>
      <c r="C800" s="15">
        <v>0</v>
      </c>
      <c r="D800" s="15">
        <v>0</v>
      </c>
      <c r="E800" s="15">
        <v>0</v>
      </c>
      <c r="F800" s="15">
        <v>0</v>
      </c>
      <c r="G800" s="15">
        <v>0</v>
      </c>
      <c r="H800" s="15">
        <v>20007000</v>
      </c>
      <c r="I800" s="15">
        <v>67839710</v>
      </c>
    </row>
    <row r="801" spans="2:9" x14ac:dyDescent="0.3">
      <c r="B801" s="14" t="s">
        <v>24</v>
      </c>
      <c r="C801" s="15">
        <v>4700</v>
      </c>
      <c r="D801" s="15">
        <v>398811</v>
      </c>
      <c r="E801" s="15">
        <v>24680</v>
      </c>
      <c r="F801" s="15">
        <v>1750233</v>
      </c>
      <c r="G801" s="15">
        <v>660730</v>
      </c>
      <c r="H801" s="15">
        <v>0</v>
      </c>
      <c r="I801" s="15">
        <v>17000</v>
      </c>
    </row>
    <row r="802" spans="2:9" x14ac:dyDescent="0.3">
      <c r="B802" s="14" t="s">
        <v>25</v>
      </c>
      <c r="C802" s="15">
        <v>39461</v>
      </c>
      <c r="D802" s="15">
        <v>2879053</v>
      </c>
      <c r="E802" s="15">
        <v>41016</v>
      </c>
      <c r="F802" s="15">
        <v>3173771</v>
      </c>
      <c r="G802" s="15">
        <v>336025</v>
      </c>
      <c r="H802" s="15">
        <v>20000</v>
      </c>
      <c r="I802" s="15">
        <v>15000</v>
      </c>
    </row>
    <row r="803" spans="2:9" x14ac:dyDescent="0.3">
      <c r="B803" s="14" t="s">
        <v>26</v>
      </c>
      <c r="C803" s="15">
        <v>8160</v>
      </c>
      <c r="D803" s="15">
        <v>23745</v>
      </c>
      <c r="E803" s="15">
        <v>1100</v>
      </c>
      <c r="F803" s="15">
        <v>4060</v>
      </c>
      <c r="G803" s="15">
        <v>0</v>
      </c>
      <c r="H803" s="15">
        <v>0</v>
      </c>
      <c r="I803" s="15">
        <v>0</v>
      </c>
    </row>
    <row r="804" spans="2:9" x14ac:dyDescent="0.3">
      <c r="B804" s="14" t="s">
        <v>33</v>
      </c>
      <c r="C804" s="15">
        <v>173000</v>
      </c>
      <c r="D804" s="15">
        <v>346000</v>
      </c>
      <c r="E804" s="15">
        <v>3450</v>
      </c>
      <c r="F804" s="15">
        <v>15960</v>
      </c>
      <c r="G804" s="15">
        <v>0</v>
      </c>
      <c r="H804" s="15">
        <v>170000</v>
      </c>
      <c r="I804" s="15">
        <v>0</v>
      </c>
    </row>
    <row r="805" spans="2:9" x14ac:dyDescent="0.3">
      <c r="B805" s="14" t="s">
        <v>27</v>
      </c>
      <c r="C805" s="15">
        <v>3250</v>
      </c>
      <c r="D805" s="15">
        <v>31849</v>
      </c>
      <c r="E805" s="15">
        <v>13750</v>
      </c>
      <c r="F805" s="15">
        <v>75200</v>
      </c>
      <c r="G805" s="15">
        <v>101406</v>
      </c>
      <c r="H805" s="15">
        <v>0</v>
      </c>
      <c r="I805" s="15">
        <v>12000</v>
      </c>
    </row>
    <row r="806" spans="2:9" x14ac:dyDescent="0.3">
      <c r="B806" s="14" t="s">
        <v>28</v>
      </c>
      <c r="C806" s="15">
        <v>19665</v>
      </c>
      <c r="D806" s="15">
        <v>6809512</v>
      </c>
      <c r="E806" s="15">
        <v>15497</v>
      </c>
      <c r="F806" s="15">
        <v>5398412</v>
      </c>
      <c r="G806" s="15">
        <v>192474</v>
      </c>
      <c r="H806" s="15">
        <v>12000</v>
      </c>
      <c r="I806" s="15">
        <v>7350</v>
      </c>
    </row>
    <row r="807" spans="2:9" ht="15.6" x14ac:dyDescent="0.3">
      <c r="B807" s="16" t="s">
        <v>29</v>
      </c>
      <c r="C807" s="16"/>
      <c r="D807" s="17">
        <f>SUM(D793:D806)</f>
        <v>85001095</v>
      </c>
      <c r="E807" s="18"/>
      <c r="F807" s="17">
        <f>SUM(F793:F806)</f>
        <v>36426960</v>
      </c>
      <c r="G807" s="17">
        <f>SUM(G793:G806)</f>
        <v>12148315</v>
      </c>
      <c r="H807" s="19"/>
      <c r="I807" s="19"/>
    </row>
    <row r="809" spans="2:9" ht="15.6" x14ac:dyDescent="0.3">
      <c r="B809" s="13" t="s">
        <v>81</v>
      </c>
      <c r="C809" s="13"/>
      <c r="D809" s="13"/>
    </row>
    <row r="810" spans="2:9" x14ac:dyDescent="0.3">
      <c r="B810" s="14" t="s">
        <v>13</v>
      </c>
      <c r="C810" s="15">
        <v>20</v>
      </c>
      <c r="D810" s="15">
        <v>3725</v>
      </c>
      <c r="E810" s="15">
        <v>20</v>
      </c>
      <c r="F810" s="15">
        <v>4410</v>
      </c>
      <c r="G810" s="15">
        <v>0</v>
      </c>
      <c r="H810" s="15">
        <v>0</v>
      </c>
      <c r="I810" s="15">
        <v>0</v>
      </c>
    </row>
    <row r="811" spans="2:9" x14ac:dyDescent="0.3">
      <c r="B811" s="14" t="s">
        <v>14</v>
      </c>
      <c r="C811" s="15">
        <v>280</v>
      </c>
      <c r="D811" s="15">
        <v>53422</v>
      </c>
      <c r="E811" s="15">
        <v>1085</v>
      </c>
      <c r="F811" s="15">
        <v>231685</v>
      </c>
      <c r="G811" s="15">
        <v>0</v>
      </c>
      <c r="H811" s="15">
        <v>0</v>
      </c>
      <c r="I811" s="15">
        <v>1000</v>
      </c>
    </row>
    <row r="812" spans="2:9" x14ac:dyDescent="0.3">
      <c r="B812" s="14" t="s">
        <v>15</v>
      </c>
      <c r="C812" s="15">
        <v>600</v>
      </c>
      <c r="D812" s="15">
        <v>151920</v>
      </c>
      <c r="E812" s="15">
        <v>200</v>
      </c>
      <c r="F812" s="15">
        <v>53475</v>
      </c>
      <c r="G812" s="15">
        <v>0</v>
      </c>
      <c r="H812" s="15">
        <v>600</v>
      </c>
      <c r="I812" s="15">
        <v>0</v>
      </c>
    </row>
    <row r="813" spans="2:9" x14ac:dyDescent="0.3">
      <c r="B813" s="14" t="s">
        <v>16</v>
      </c>
      <c r="C813" s="15">
        <v>39210</v>
      </c>
      <c r="D813" s="15">
        <v>16244247</v>
      </c>
      <c r="E813" s="15">
        <v>5730</v>
      </c>
      <c r="F813" s="15">
        <v>2404208</v>
      </c>
      <c r="G813" s="15">
        <v>0</v>
      </c>
      <c r="H813" s="15">
        <v>34500</v>
      </c>
      <c r="I813" s="15">
        <v>4000</v>
      </c>
    </row>
    <row r="814" spans="2:9" x14ac:dyDescent="0.3">
      <c r="B814" s="14" t="s">
        <v>17</v>
      </c>
      <c r="C814" s="15">
        <v>16100</v>
      </c>
      <c r="D814" s="15">
        <v>244938</v>
      </c>
      <c r="E814" s="15">
        <v>50800</v>
      </c>
      <c r="F814" s="15">
        <v>852732</v>
      </c>
      <c r="G814" s="15">
        <v>0</v>
      </c>
      <c r="H814" s="15">
        <v>0</v>
      </c>
      <c r="I814" s="15">
        <v>24000</v>
      </c>
    </row>
    <row r="815" spans="2:9" x14ac:dyDescent="0.3">
      <c r="B815" s="14" t="s">
        <v>18</v>
      </c>
      <c r="C815" s="15">
        <v>289517</v>
      </c>
      <c r="D815" s="15">
        <v>112956126</v>
      </c>
      <c r="E815" s="15">
        <v>179114</v>
      </c>
      <c r="F815" s="15">
        <v>70846688</v>
      </c>
      <c r="G815" s="15">
        <v>0</v>
      </c>
      <c r="H815" s="15">
        <v>154000</v>
      </c>
      <c r="I815" s="15">
        <v>46690</v>
      </c>
    </row>
    <row r="816" spans="2:9" x14ac:dyDescent="0.3">
      <c r="B816" s="14" t="s">
        <v>19</v>
      </c>
      <c r="C816" s="15">
        <v>28710</v>
      </c>
      <c r="D816" s="15">
        <v>13311968</v>
      </c>
      <c r="E816" s="15">
        <v>4345</v>
      </c>
      <c r="F816" s="15">
        <v>2045524</v>
      </c>
      <c r="G816" s="15">
        <v>0</v>
      </c>
      <c r="H816" s="15">
        <v>28300</v>
      </c>
      <c r="I816" s="15">
        <v>2550</v>
      </c>
    </row>
    <row r="817" spans="2:9" x14ac:dyDescent="0.3">
      <c r="B817" s="14" t="s">
        <v>20</v>
      </c>
      <c r="C817" s="15">
        <v>0</v>
      </c>
      <c r="D817" s="15">
        <v>0</v>
      </c>
      <c r="E817" s="15">
        <v>0</v>
      </c>
      <c r="F817" s="15">
        <v>0</v>
      </c>
      <c r="G817" s="15">
        <v>0</v>
      </c>
      <c r="H817" s="15">
        <v>13500000</v>
      </c>
      <c r="I817" s="15">
        <v>70521825</v>
      </c>
    </row>
    <row r="818" spans="2:9" x14ac:dyDescent="0.3">
      <c r="B818" s="14" t="s">
        <v>21</v>
      </c>
      <c r="C818" s="15">
        <v>440</v>
      </c>
      <c r="D818" s="15">
        <v>38750</v>
      </c>
      <c r="E818" s="15">
        <v>0</v>
      </c>
      <c r="F818" s="15">
        <v>0</v>
      </c>
      <c r="G818" s="15">
        <v>0</v>
      </c>
      <c r="H818" s="15">
        <v>0</v>
      </c>
      <c r="I818" s="15">
        <v>0</v>
      </c>
    </row>
    <row r="819" spans="2:9" x14ac:dyDescent="0.3">
      <c r="B819" s="14" t="s">
        <v>22</v>
      </c>
      <c r="C819" s="15">
        <v>9000</v>
      </c>
      <c r="D819" s="15">
        <v>21150</v>
      </c>
      <c r="E819" s="15">
        <v>0</v>
      </c>
      <c r="F819" s="15">
        <v>0</v>
      </c>
      <c r="G819" s="15">
        <v>0</v>
      </c>
      <c r="H819" s="15">
        <v>0</v>
      </c>
      <c r="I819" s="15">
        <v>0</v>
      </c>
    </row>
    <row r="820" spans="2:9" x14ac:dyDescent="0.3">
      <c r="B820" s="14" t="s">
        <v>24</v>
      </c>
      <c r="C820" s="15">
        <v>3580</v>
      </c>
      <c r="D820" s="15">
        <v>326368</v>
      </c>
      <c r="E820" s="15">
        <v>10010</v>
      </c>
      <c r="F820" s="15">
        <v>961680</v>
      </c>
      <c r="G820" s="15">
        <v>0</v>
      </c>
      <c r="H820" s="15">
        <v>0</v>
      </c>
      <c r="I820" s="15">
        <v>5000</v>
      </c>
    </row>
    <row r="821" spans="2:9" x14ac:dyDescent="0.3">
      <c r="B821" s="14" t="s">
        <v>25</v>
      </c>
      <c r="C821" s="15">
        <v>21088</v>
      </c>
      <c r="D821" s="15">
        <v>1628946</v>
      </c>
      <c r="E821" s="15">
        <v>35227</v>
      </c>
      <c r="F821" s="15">
        <v>2847785</v>
      </c>
      <c r="G821" s="15">
        <v>0</v>
      </c>
      <c r="H821" s="15">
        <v>6000</v>
      </c>
      <c r="I821" s="15">
        <v>16500</v>
      </c>
    </row>
    <row r="822" spans="2:9" x14ac:dyDescent="0.3">
      <c r="B822" s="14" t="s">
        <v>26</v>
      </c>
      <c r="C822" s="15">
        <v>3370</v>
      </c>
      <c r="D822" s="15">
        <v>10110</v>
      </c>
      <c r="E822" s="15">
        <v>17340</v>
      </c>
      <c r="F822" s="15">
        <v>65845</v>
      </c>
      <c r="G822" s="15">
        <v>0</v>
      </c>
      <c r="H822" s="15">
        <v>0</v>
      </c>
      <c r="I822" s="15">
        <v>0</v>
      </c>
    </row>
    <row r="823" spans="2:9" x14ac:dyDescent="0.3">
      <c r="B823" s="14" t="s">
        <v>33</v>
      </c>
      <c r="C823" s="15">
        <v>0</v>
      </c>
      <c r="D823" s="15">
        <v>0</v>
      </c>
      <c r="E823" s="15">
        <v>3120</v>
      </c>
      <c r="F823" s="15">
        <v>14975</v>
      </c>
      <c r="G823" s="15">
        <v>0</v>
      </c>
      <c r="H823" s="15">
        <v>0</v>
      </c>
      <c r="I823" s="15">
        <v>0</v>
      </c>
    </row>
    <row r="824" spans="2:9" x14ac:dyDescent="0.3">
      <c r="B824" s="14" t="s">
        <v>27</v>
      </c>
      <c r="C824" s="15">
        <v>2550</v>
      </c>
      <c r="D824" s="15">
        <v>24990</v>
      </c>
      <c r="E824" s="15">
        <v>33655</v>
      </c>
      <c r="F824" s="15">
        <v>408755</v>
      </c>
      <c r="G824" s="15">
        <v>0</v>
      </c>
      <c r="H824" s="15">
        <v>0</v>
      </c>
      <c r="I824" s="15">
        <v>25000</v>
      </c>
    </row>
    <row r="825" spans="2:9" x14ac:dyDescent="0.3">
      <c r="B825" s="14" t="s">
        <v>28</v>
      </c>
      <c r="C825" s="15">
        <v>19215</v>
      </c>
      <c r="D825" s="15">
        <v>6743025</v>
      </c>
      <c r="E825" s="15">
        <v>32412</v>
      </c>
      <c r="F825" s="15">
        <v>11608753</v>
      </c>
      <c r="G825" s="15">
        <v>0</v>
      </c>
      <c r="H825" s="15">
        <v>10000</v>
      </c>
      <c r="I825" s="15">
        <v>26450</v>
      </c>
    </row>
    <row r="826" spans="2:9" ht="15.6" x14ac:dyDescent="0.3">
      <c r="B826" s="16" t="s">
        <v>29</v>
      </c>
      <c r="C826" s="16"/>
      <c r="D826" s="17">
        <f>SUM(D810:D825)</f>
        <v>151759685</v>
      </c>
      <c r="E826" s="18"/>
      <c r="F826" s="17">
        <f>SUM(F810:F825)</f>
        <v>92346515</v>
      </c>
      <c r="G826" s="17">
        <f>SUM(G810:G825)</f>
        <v>0</v>
      </c>
      <c r="H826" s="19"/>
      <c r="I826" s="19"/>
    </row>
    <row r="828" spans="2:9" ht="15.6" x14ac:dyDescent="0.3">
      <c r="B828" s="13" t="s">
        <v>82</v>
      </c>
      <c r="C828" s="13"/>
      <c r="D828" s="13"/>
    </row>
    <row r="829" spans="2:9" x14ac:dyDescent="0.3">
      <c r="B829" s="14" t="s">
        <v>12</v>
      </c>
      <c r="C829" s="15">
        <v>20</v>
      </c>
      <c r="D829" s="15">
        <v>4544</v>
      </c>
      <c r="E829" s="15">
        <v>0</v>
      </c>
      <c r="F829" s="15">
        <v>0</v>
      </c>
      <c r="G829" s="15">
        <v>0</v>
      </c>
      <c r="H829" s="15">
        <v>0</v>
      </c>
      <c r="I829" s="15">
        <v>0</v>
      </c>
    </row>
    <row r="830" spans="2:9" x14ac:dyDescent="0.3">
      <c r="B830" s="14" t="s">
        <v>14</v>
      </c>
      <c r="C830" s="15">
        <v>30</v>
      </c>
      <c r="D830" s="15">
        <v>5725</v>
      </c>
      <c r="E830" s="15">
        <v>1960</v>
      </c>
      <c r="F830" s="15">
        <v>418266</v>
      </c>
      <c r="G830" s="15">
        <v>0</v>
      </c>
      <c r="H830" s="15">
        <v>0</v>
      </c>
      <c r="I830" s="15">
        <v>1000</v>
      </c>
    </row>
    <row r="831" spans="2:9" x14ac:dyDescent="0.3">
      <c r="B831" s="14" t="s">
        <v>15</v>
      </c>
      <c r="C831" s="15">
        <v>360</v>
      </c>
      <c r="D831" s="15">
        <v>91166</v>
      </c>
      <c r="E831" s="15">
        <v>100</v>
      </c>
      <c r="F831" s="15">
        <v>26840</v>
      </c>
      <c r="G831" s="15">
        <v>0</v>
      </c>
      <c r="H831" s="15">
        <v>0</v>
      </c>
      <c r="I831" s="15">
        <v>0</v>
      </c>
    </row>
    <row r="832" spans="2:9" x14ac:dyDescent="0.3">
      <c r="B832" s="14" t="s">
        <v>16</v>
      </c>
      <c r="C832" s="15">
        <v>710</v>
      </c>
      <c r="D832" s="15">
        <v>293825</v>
      </c>
      <c r="E832" s="15">
        <v>0</v>
      </c>
      <c r="F832" s="15">
        <v>0</v>
      </c>
      <c r="G832" s="15">
        <v>0</v>
      </c>
      <c r="H832" s="15">
        <v>1100</v>
      </c>
      <c r="I832" s="15">
        <v>0</v>
      </c>
    </row>
    <row r="833" spans="2:9" x14ac:dyDescent="0.3">
      <c r="B833" s="14" t="s">
        <v>17</v>
      </c>
      <c r="C833" s="15">
        <v>2600</v>
      </c>
      <c r="D833" s="15">
        <v>39520</v>
      </c>
      <c r="E833" s="15">
        <v>21700</v>
      </c>
      <c r="F833" s="15">
        <v>253433</v>
      </c>
      <c r="G833" s="15">
        <v>110750</v>
      </c>
      <c r="H833" s="15">
        <v>0</v>
      </c>
      <c r="I833" s="15">
        <v>30000</v>
      </c>
    </row>
    <row r="834" spans="2:9" x14ac:dyDescent="0.3">
      <c r="B834" s="14" t="s">
        <v>18</v>
      </c>
      <c r="C834" s="15">
        <v>114238</v>
      </c>
      <c r="D834" s="15">
        <v>44708104</v>
      </c>
      <c r="E834" s="15">
        <v>42808</v>
      </c>
      <c r="F834" s="15">
        <v>16253411</v>
      </c>
      <c r="G834" s="15">
        <v>717052</v>
      </c>
      <c r="H834" s="15">
        <v>75500</v>
      </c>
      <c r="I834" s="15">
        <v>7000</v>
      </c>
    </row>
    <row r="835" spans="2:9" x14ac:dyDescent="0.3">
      <c r="B835" s="14" t="s">
        <v>19</v>
      </c>
      <c r="C835" s="15">
        <v>1025</v>
      </c>
      <c r="D835" s="15">
        <v>477940</v>
      </c>
      <c r="E835" s="15">
        <v>6710</v>
      </c>
      <c r="F835" s="15">
        <v>3157515</v>
      </c>
      <c r="G835" s="15">
        <v>0</v>
      </c>
      <c r="H835" s="15">
        <v>1300</v>
      </c>
      <c r="I835" s="15">
        <v>6400</v>
      </c>
    </row>
    <row r="836" spans="2:9" x14ac:dyDescent="0.3">
      <c r="B836" s="14" t="s">
        <v>20</v>
      </c>
      <c r="C836" s="15">
        <v>0</v>
      </c>
      <c r="D836" s="15">
        <v>0</v>
      </c>
      <c r="E836" s="15">
        <v>0</v>
      </c>
      <c r="F836" s="15">
        <v>0</v>
      </c>
      <c r="G836" s="15">
        <v>0</v>
      </c>
      <c r="H836" s="15">
        <v>6000000</v>
      </c>
      <c r="I836" s="15">
        <v>36001000</v>
      </c>
    </row>
    <row r="837" spans="2:9" x14ac:dyDescent="0.3">
      <c r="B837" s="14" t="s">
        <v>21</v>
      </c>
      <c r="C837" s="15">
        <v>1500</v>
      </c>
      <c r="D837" s="15">
        <v>132300</v>
      </c>
      <c r="E837" s="15">
        <v>0</v>
      </c>
      <c r="F837" s="15">
        <v>0</v>
      </c>
      <c r="G837" s="15">
        <v>0</v>
      </c>
      <c r="H837" s="15">
        <v>0</v>
      </c>
      <c r="I837" s="15">
        <v>0</v>
      </c>
    </row>
    <row r="838" spans="2:9" x14ac:dyDescent="0.3">
      <c r="B838" s="14" t="s">
        <v>22</v>
      </c>
      <c r="C838" s="15">
        <v>0</v>
      </c>
      <c r="D838" s="15">
        <v>0</v>
      </c>
      <c r="E838" s="15">
        <v>200000</v>
      </c>
      <c r="F838" s="15">
        <v>482000</v>
      </c>
      <c r="G838" s="15">
        <v>0</v>
      </c>
      <c r="H838" s="15">
        <v>0</v>
      </c>
      <c r="I838" s="15">
        <v>200000</v>
      </c>
    </row>
    <row r="839" spans="2:9" x14ac:dyDescent="0.3">
      <c r="B839" s="14" t="s">
        <v>24</v>
      </c>
      <c r="C839" s="15">
        <v>50</v>
      </c>
      <c r="D839" s="15">
        <v>4612</v>
      </c>
      <c r="E839" s="15">
        <v>33480</v>
      </c>
      <c r="F839" s="15">
        <v>3166430</v>
      </c>
      <c r="G839" s="15">
        <v>50320</v>
      </c>
      <c r="H839" s="15">
        <v>0</v>
      </c>
      <c r="I839" s="15">
        <v>33000</v>
      </c>
    </row>
    <row r="840" spans="2:9" x14ac:dyDescent="0.3">
      <c r="B840" s="14" t="s">
        <v>25</v>
      </c>
      <c r="C840" s="15">
        <v>3673</v>
      </c>
      <c r="D840" s="15">
        <v>282675</v>
      </c>
      <c r="E840" s="15">
        <v>6986</v>
      </c>
      <c r="F840" s="15">
        <v>518015</v>
      </c>
      <c r="G840" s="15">
        <v>46048</v>
      </c>
      <c r="H840" s="15">
        <v>0</v>
      </c>
      <c r="I840" s="15">
        <v>10500</v>
      </c>
    </row>
    <row r="841" spans="2:9" x14ac:dyDescent="0.3">
      <c r="B841" s="14" t="s">
        <v>26</v>
      </c>
      <c r="C841" s="15">
        <v>0</v>
      </c>
      <c r="D841" s="15">
        <v>0</v>
      </c>
      <c r="E841" s="15">
        <v>20000</v>
      </c>
      <c r="F841" s="15">
        <v>73800</v>
      </c>
      <c r="G841" s="15">
        <v>0</v>
      </c>
      <c r="H841" s="15">
        <v>0</v>
      </c>
      <c r="I841" s="15">
        <v>30000</v>
      </c>
    </row>
    <row r="842" spans="2:9" x14ac:dyDescent="0.3">
      <c r="B842" s="14" t="s">
        <v>27</v>
      </c>
      <c r="C842" s="15">
        <v>0</v>
      </c>
      <c r="D842" s="15">
        <v>0</v>
      </c>
      <c r="E842" s="15">
        <v>5350</v>
      </c>
      <c r="F842" s="15">
        <v>70500</v>
      </c>
      <c r="G842" s="15">
        <v>8000</v>
      </c>
      <c r="H842" s="15">
        <v>10000</v>
      </c>
      <c r="I842" s="15">
        <v>20000</v>
      </c>
    </row>
    <row r="843" spans="2:9" x14ac:dyDescent="0.3">
      <c r="B843" s="14" t="s">
        <v>28</v>
      </c>
      <c r="C843" s="15">
        <v>22521</v>
      </c>
      <c r="D843" s="15">
        <v>7926689</v>
      </c>
      <c r="E843" s="15">
        <v>6968</v>
      </c>
      <c r="F843" s="15">
        <v>617800</v>
      </c>
      <c r="G843" s="15">
        <v>1877875</v>
      </c>
      <c r="H843" s="15">
        <v>17800</v>
      </c>
      <c r="I843" s="15">
        <v>0</v>
      </c>
    </row>
    <row r="844" spans="2:9" ht="15.6" x14ac:dyDescent="0.3">
      <c r="B844" s="16" t="s">
        <v>29</v>
      </c>
      <c r="C844" s="16"/>
      <c r="D844" s="17">
        <f>SUM(D829:D843)</f>
        <v>53967100</v>
      </c>
      <c r="E844" s="18"/>
      <c r="F844" s="17">
        <f>SUM(F829:F843)</f>
        <v>25038010</v>
      </c>
      <c r="G844" s="17">
        <f>SUM(G829:G843)</f>
        <v>2810045</v>
      </c>
      <c r="H844" s="19"/>
      <c r="I844" s="19"/>
    </row>
    <row r="846" spans="2:9" ht="15.6" x14ac:dyDescent="0.3">
      <c r="B846" s="13" t="s">
        <v>83</v>
      </c>
      <c r="C846" s="13"/>
      <c r="D846" s="13"/>
    </row>
    <row r="847" spans="2:9" x14ac:dyDescent="0.3">
      <c r="B847" s="14" t="s">
        <v>12</v>
      </c>
      <c r="C847" s="15">
        <v>0</v>
      </c>
      <c r="D847" s="15">
        <v>0</v>
      </c>
      <c r="E847" s="15">
        <v>0</v>
      </c>
      <c r="F847" s="15">
        <v>0</v>
      </c>
      <c r="G847" s="15">
        <v>0</v>
      </c>
      <c r="H847" s="15">
        <v>0</v>
      </c>
      <c r="I847" s="15">
        <v>400</v>
      </c>
    </row>
    <row r="848" spans="2:9" x14ac:dyDescent="0.3">
      <c r="B848" s="14" t="s">
        <v>14</v>
      </c>
      <c r="C848" s="15">
        <v>125</v>
      </c>
      <c r="D848" s="15">
        <v>23320</v>
      </c>
      <c r="E848" s="15">
        <v>2370</v>
      </c>
      <c r="F848" s="15">
        <v>505735</v>
      </c>
      <c r="G848" s="15">
        <v>0</v>
      </c>
      <c r="H848" s="15">
        <v>0</v>
      </c>
      <c r="I848" s="15">
        <v>1000</v>
      </c>
    </row>
    <row r="849" spans="2:9" x14ac:dyDescent="0.3">
      <c r="B849" s="14" t="s">
        <v>15</v>
      </c>
      <c r="C849" s="15">
        <v>1100</v>
      </c>
      <c r="D849" s="15">
        <v>273470</v>
      </c>
      <c r="E849" s="15">
        <v>5</v>
      </c>
      <c r="F849" s="15">
        <v>1355</v>
      </c>
      <c r="G849" s="15">
        <v>0</v>
      </c>
      <c r="H849" s="15">
        <v>1100</v>
      </c>
      <c r="I849" s="15">
        <v>0</v>
      </c>
    </row>
    <row r="850" spans="2:9" x14ac:dyDescent="0.3">
      <c r="B850" s="14" t="s">
        <v>16</v>
      </c>
      <c r="C850" s="15">
        <v>1700</v>
      </c>
      <c r="D850" s="15">
        <v>688740</v>
      </c>
      <c r="E850" s="15">
        <v>250</v>
      </c>
      <c r="F850" s="15">
        <v>107125</v>
      </c>
      <c r="G850" s="15">
        <v>0</v>
      </c>
      <c r="H850" s="15">
        <v>2000</v>
      </c>
      <c r="I850" s="15">
        <v>0</v>
      </c>
    </row>
    <row r="851" spans="2:9" x14ac:dyDescent="0.3">
      <c r="B851" s="14" t="s">
        <v>32</v>
      </c>
      <c r="C851" s="15">
        <v>0</v>
      </c>
      <c r="D851" s="15">
        <v>0</v>
      </c>
      <c r="E851" s="15">
        <v>0</v>
      </c>
      <c r="F851" s="15">
        <v>0</v>
      </c>
      <c r="G851" s="15">
        <v>0</v>
      </c>
      <c r="H851" s="15">
        <v>0</v>
      </c>
      <c r="I851" s="15">
        <v>1200</v>
      </c>
    </row>
    <row r="852" spans="2:9" x14ac:dyDescent="0.3">
      <c r="B852" s="14" t="s">
        <v>17</v>
      </c>
      <c r="C852" s="15">
        <v>5100</v>
      </c>
      <c r="D852" s="15">
        <v>74015</v>
      </c>
      <c r="E852" s="15">
        <v>21300</v>
      </c>
      <c r="F852" s="15">
        <v>304455</v>
      </c>
      <c r="G852" s="15">
        <v>68005</v>
      </c>
      <c r="H852" s="15">
        <v>12000</v>
      </c>
      <c r="I852" s="15">
        <v>15000</v>
      </c>
    </row>
    <row r="853" spans="2:9" x14ac:dyDescent="0.3">
      <c r="B853" s="14" t="s">
        <v>18</v>
      </c>
      <c r="C853" s="15">
        <v>114773</v>
      </c>
      <c r="D853" s="15">
        <v>44054470</v>
      </c>
      <c r="E853" s="15">
        <v>33063</v>
      </c>
      <c r="F853" s="15">
        <v>11046260</v>
      </c>
      <c r="G853" s="15">
        <v>2203685</v>
      </c>
      <c r="H853" s="15">
        <v>85000</v>
      </c>
      <c r="I853" s="15">
        <v>180</v>
      </c>
    </row>
    <row r="854" spans="2:9" x14ac:dyDescent="0.3">
      <c r="B854" s="14" t="s">
        <v>19</v>
      </c>
      <c r="C854" s="15">
        <v>8250</v>
      </c>
      <c r="D854" s="15">
        <v>3792045</v>
      </c>
      <c r="E854" s="15">
        <v>8805</v>
      </c>
      <c r="F854" s="15">
        <v>3849225</v>
      </c>
      <c r="G854" s="15">
        <v>357350</v>
      </c>
      <c r="H854" s="15">
        <v>7000</v>
      </c>
      <c r="I854" s="15">
        <v>8060</v>
      </c>
    </row>
    <row r="855" spans="2:9" x14ac:dyDescent="0.3">
      <c r="B855" s="14" t="s">
        <v>20</v>
      </c>
      <c r="C855" s="15">
        <v>0</v>
      </c>
      <c r="D855" s="15">
        <v>0</v>
      </c>
      <c r="E855" s="15">
        <v>0</v>
      </c>
      <c r="F855" s="15">
        <v>0</v>
      </c>
      <c r="G855" s="15">
        <v>0</v>
      </c>
      <c r="H855" s="15">
        <v>4500000</v>
      </c>
      <c r="I855" s="15">
        <v>42695710</v>
      </c>
    </row>
    <row r="856" spans="2:9" x14ac:dyDescent="0.3">
      <c r="B856" s="14" t="s">
        <v>21</v>
      </c>
      <c r="C856" s="15">
        <v>220</v>
      </c>
      <c r="D856" s="15">
        <v>18777</v>
      </c>
      <c r="E856" s="15">
        <v>0</v>
      </c>
      <c r="F856" s="15">
        <v>0</v>
      </c>
      <c r="G856" s="15">
        <v>0</v>
      </c>
      <c r="H856" s="15">
        <v>0</v>
      </c>
      <c r="I856" s="15">
        <v>0</v>
      </c>
    </row>
    <row r="857" spans="2:9" x14ac:dyDescent="0.3">
      <c r="B857" s="14" t="s">
        <v>40</v>
      </c>
      <c r="C857" s="15">
        <v>120</v>
      </c>
      <c r="D857" s="15">
        <v>1880</v>
      </c>
      <c r="E857" s="15">
        <v>0</v>
      </c>
      <c r="F857" s="15">
        <v>0</v>
      </c>
      <c r="G857" s="15">
        <v>0</v>
      </c>
      <c r="H857" s="15">
        <v>0</v>
      </c>
      <c r="I857" s="15">
        <v>0</v>
      </c>
    </row>
    <row r="858" spans="2:9" x14ac:dyDescent="0.3">
      <c r="B858" s="14" t="s">
        <v>23</v>
      </c>
      <c r="C858" s="15">
        <v>0</v>
      </c>
      <c r="D858" s="15">
        <v>0</v>
      </c>
      <c r="E858" s="15">
        <v>600</v>
      </c>
      <c r="F858" s="15">
        <v>138480</v>
      </c>
      <c r="G858" s="15">
        <v>0</v>
      </c>
      <c r="H858" s="15">
        <v>0</v>
      </c>
      <c r="I858" s="15">
        <v>800</v>
      </c>
    </row>
    <row r="859" spans="2:9" x14ac:dyDescent="0.3">
      <c r="B859" s="14" t="s">
        <v>24</v>
      </c>
      <c r="C859" s="15">
        <v>19760</v>
      </c>
      <c r="D859" s="15">
        <v>1676730</v>
      </c>
      <c r="E859" s="15">
        <v>20720</v>
      </c>
      <c r="F859" s="15">
        <v>1658262</v>
      </c>
      <c r="G859" s="15">
        <v>366782</v>
      </c>
      <c r="H859" s="15">
        <v>5000</v>
      </c>
      <c r="I859" s="15">
        <v>11000</v>
      </c>
    </row>
    <row r="860" spans="2:9" x14ac:dyDescent="0.3">
      <c r="B860" s="14" t="s">
        <v>25</v>
      </c>
      <c r="C860" s="15">
        <v>6358</v>
      </c>
      <c r="D860" s="15">
        <v>464868</v>
      </c>
      <c r="E860" s="15">
        <v>32435</v>
      </c>
      <c r="F860" s="15">
        <v>1691680</v>
      </c>
      <c r="G860" s="15">
        <v>1085433</v>
      </c>
      <c r="H860" s="15">
        <v>0</v>
      </c>
      <c r="I860" s="15">
        <v>21100</v>
      </c>
    </row>
    <row r="861" spans="2:9" x14ac:dyDescent="0.3">
      <c r="B861" s="14" t="s">
        <v>27</v>
      </c>
      <c r="C861" s="15">
        <v>430</v>
      </c>
      <c r="D861" s="15">
        <v>4215</v>
      </c>
      <c r="E861" s="15">
        <v>17945</v>
      </c>
      <c r="F861" s="15">
        <v>202735</v>
      </c>
      <c r="G861" s="15">
        <v>0</v>
      </c>
      <c r="H861" s="15">
        <v>0</v>
      </c>
      <c r="I861" s="15">
        <v>15000</v>
      </c>
    </row>
    <row r="862" spans="2:9" x14ac:dyDescent="0.3">
      <c r="B862" s="14" t="s">
        <v>28</v>
      </c>
      <c r="C862" s="15">
        <v>13491</v>
      </c>
      <c r="D862" s="15">
        <v>4694375</v>
      </c>
      <c r="E862" s="15">
        <v>4094</v>
      </c>
      <c r="F862" s="15">
        <v>1420308</v>
      </c>
      <c r="G862" s="15">
        <v>58020</v>
      </c>
      <c r="H862" s="15">
        <v>11500</v>
      </c>
      <c r="I862" s="15">
        <v>2850</v>
      </c>
    </row>
    <row r="863" spans="2:9" ht="15.6" x14ac:dyDescent="0.3">
      <c r="B863" s="16" t="s">
        <v>29</v>
      </c>
      <c r="C863" s="16"/>
      <c r="D863" s="17">
        <f>SUM(D847:D862)</f>
        <v>55766905</v>
      </c>
      <c r="E863" s="18"/>
      <c r="F863" s="17">
        <f>SUM(F847:F862)</f>
        <v>20925620</v>
      </c>
      <c r="G863" s="17">
        <f>SUM(G847:G862)</f>
        <v>4139275</v>
      </c>
      <c r="H863" s="19"/>
      <c r="I863" s="19"/>
    </row>
    <row r="865" spans="2:9" ht="17.399999999999999" x14ac:dyDescent="0.3">
      <c r="B865" s="20" t="s">
        <v>84</v>
      </c>
      <c r="C865" s="20"/>
      <c r="D865" s="20"/>
      <c r="E865" s="20"/>
      <c r="F865" s="20"/>
      <c r="G865" s="20"/>
      <c r="H865" s="20"/>
      <c r="I865" s="20"/>
    </row>
    <row r="866" spans="2:9" ht="15.6" x14ac:dyDescent="0.3">
      <c r="B866" s="13" t="s">
        <v>85</v>
      </c>
      <c r="C866" s="13"/>
      <c r="D866" s="13"/>
    </row>
    <row r="867" spans="2:9" x14ac:dyDescent="0.3">
      <c r="B867" s="14" t="s">
        <v>14</v>
      </c>
      <c r="C867" s="15">
        <v>20</v>
      </c>
      <c r="D867" s="15">
        <v>3825</v>
      </c>
      <c r="E867" s="15">
        <v>210</v>
      </c>
      <c r="F867" s="15">
        <v>44775</v>
      </c>
      <c r="G867" s="15">
        <v>0</v>
      </c>
      <c r="H867" s="15">
        <v>2000</v>
      </c>
      <c r="I867" s="15">
        <v>0</v>
      </c>
    </row>
    <row r="868" spans="2:9" x14ac:dyDescent="0.3">
      <c r="B868" s="14" t="s">
        <v>15</v>
      </c>
      <c r="C868" s="15">
        <v>2000</v>
      </c>
      <c r="D868" s="15">
        <v>504680</v>
      </c>
      <c r="E868" s="15">
        <v>0</v>
      </c>
      <c r="F868" s="15">
        <v>0</v>
      </c>
      <c r="G868" s="15">
        <v>0</v>
      </c>
      <c r="H868" s="15">
        <v>2000</v>
      </c>
      <c r="I868" s="15">
        <v>0</v>
      </c>
    </row>
    <row r="869" spans="2:9" x14ac:dyDescent="0.3">
      <c r="B869" s="14" t="s">
        <v>16</v>
      </c>
      <c r="C869" s="15">
        <v>41580</v>
      </c>
      <c r="D869" s="15">
        <v>17259990</v>
      </c>
      <c r="E869" s="15">
        <v>0</v>
      </c>
      <c r="F869" s="15">
        <v>0</v>
      </c>
      <c r="G869" s="15">
        <v>0</v>
      </c>
      <c r="H869" s="15">
        <v>42000</v>
      </c>
      <c r="I869" s="15">
        <v>0</v>
      </c>
    </row>
    <row r="870" spans="2:9" x14ac:dyDescent="0.3">
      <c r="B870" s="14" t="s">
        <v>32</v>
      </c>
      <c r="C870" s="15">
        <v>0</v>
      </c>
      <c r="D870" s="15">
        <v>0</v>
      </c>
      <c r="E870" s="15">
        <v>200</v>
      </c>
      <c r="F870" s="15">
        <v>11080</v>
      </c>
      <c r="G870" s="15">
        <v>0</v>
      </c>
      <c r="H870" s="15">
        <v>0</v>
      </c>
      <c r="I870" s="15">
        <v>200</v>
      </c>
    </row>
    <row r="871" spans="2:9" x14ac:dyDescent="0.3">
      <c r="B871" s="14" t="s">
        <v>17</v>
      </c>
      <c r="C871" s="15">
        <v>0</v>
      </c>
      <c r="D871" s="15">
        <v>0</v>
      </c>
      <c r="E871" s="15">
        <v>41800</v>
      </c>
      <c r="F871" s="15">
        <v>700945</v>
      </c>
      <c r="G871" s="15">
        <v>0</v>
      </c>
      <c r="H871" s="15">
        <v>0</v>
      </c>
      <c r="I871" s="15">
        <v>35000</v>
      </c>
    </row>
    <row r="872" spans="2:9" x14ac:dyDescent="0.3">
      <c r="B872" s="14" t="s">
        <v>18</v>
      </c>
      <c r="C872" s="15">
        <v>150474</v>
      </c>
      <c r="D872" s="15">
        <v>58801247</v>
      </c>
      <c r="E872" s="15">
        <v>86996</v>
      </c>
      <c r="F872" s="15">
        <v>34403833</v>
      </c>
      <c r="G872" s="15">
        <v>0</v>
      </c>
      <c r="H872" s="15">
        <v>67000</v>
      </c>
      <c r="I872" s="15">
        <v>5190</v>
      </c>
    </row>
    <row r="873" spans="2:9" x14ac:dyDescent="0.3">
      <c r="B873" s="14" t="s">
        <v>19</v>
      </c>
      <c r="C873" s="15">
        <v>2635</v>
      </c>
      <c r="D873" s="15">
        <v>1223365</v>
      </c>
      <c r="E873" s="15">
        <v>2495</v>
      </c>
      <c r="F873" s="15">
        <v>1176819</v>
      </c>
      <c r="G873" s="15">
        <v>0</v>
      </c>
      <c r="H873" s="15">
        <v>3000</v>
      </c>
      <c r="I873" s="15">
        <v>2000</v>
      </c>
    </row>
    <row r="874" spans="2:9" x14ac:dyDescent="0.3">
      <c r="B874" s="14" t="s">
        <v>20</v>
      </c>
      <c r="C874" s="15">
        <v>0</v>
      </c>
      <c r="D874" s="15">
        <v>0</v>
      </c>
      <c r="E874" s="15">
        <v>0</v>
      </c>
      <c r="F874" s="15">
        <v>0</v>
      </c>
      <c r="G874" s="15">
        <v>0</v>
      </c>
      <c r="H874" s="15">
        <v>5000000</v>
      </c>
      <c r="I874" s="15">
        <v>47528000</v>
      </c>
    </row>
    <row r="875" spans="2:9" x14ac:dyDescent="0.3">
      <c r="B875" s="14" t="s">
        <v>24</v>
      </c>
      <c r="C875" s="15">
        <v>0</v>
      </c>
      <c r="D875" s="15">
        <v>0</v>
      </c>
      <c r="E875" s="15">
        <v>1300</v>
      </c>
      <c r="F875" s="15">
        <v>125225</v>
      </c>
      <c r="G875" s="15">
        <v>0</v>
      </c>
      <c r="H875" s="15">
        <v>0</v>
      </c>
      <c r="I875" s="15">
        <v>1000</v>
      </c>
    </row>
    <row r="876" spans="2:9" x14ac:dyDescent="0.3">
      <c r="B876" s="14" t="s">
        <v>25</v>
      </c>
      <c r="C876" s="15">
        <v>44580</v>
      </c>
      <c r="D876" s="15">
        <v>3443895</v>
      </c>
      <c r="E876" s="15">
        <v>29193</v>
      </c>
      <c r="F876" s="15">
        <v>2358491</v>
      </c>
      <c r="G876" s="15">
        <v>0</v>
      </c>
      <c r="H876" s="15">
        <v>20000</v>
      </c>
      <c r="I876" s="15">
        <v>0</v>
      </c>
    </row>
    <row r="877" spans="2:9" x14ac:dyDescent="0.3">
      <c r="B877" s="14" t="s">
        <v>26</v>
      </c>
      <c r="C877" s="15">
        <v>18300</v>
      </c>
      <c r="D877" s="15">
        <v>54900</v>
      </c>
      <c r="E877" s="15">
        <v>4500</v>
      </c>
      <c r="F877" s="15">
        <v>18000</v>
      </c>
      <c r="G877" s="15">
        <v>0</v>
      </c>
      <c r="H877" s="15">
        <v>0</v>
      </c>
      <c r="I877" s="15">
        <v>0</v>
      </c>
    </row>
    <row r="878" spans="2:9" x14ac:dyDescent="0.3">
      <c r="B878" s="14" t="s">
        <v>27</v>
      </c>
      <c r="C878" s="15">
        <v>7470</v>
      </c>
      <c r="D878" s="15">
        <v>73706</v>
      </c>
      <c r="E878" s="15">
        <v>7955</v>
      </c>
      <c r="F878" s="15">
        <v>114755</v>
      </c>
      <c r="G878" s="15">
        <v>0</v>
      </c>
      <c r="H878" s="15">
        <v>10000</v>
      </c>
      <c r="I878" s="15">
        <v>19000</v>
      </c>
    </row>
    <row r="879" spans="2:9" x14ac:dyDescent="0.3">
      <c r="B879" s="14" t="s">
        <v>28</v>
      </c>
      <c r="C879" s="15">
        <v>6513</v>
      </c>
      <c r="D879" s="15">
        <v>2294262</v>
      </c>
      <c r="E879" s="15">
        <v>6704</v>
      </c>
      <c r="F879" s="15">
        <v>2388857</v>
      </c>
      <c r="G879" s="15">
        <v>0</v>
      </c>
      <c r="H879" s="15">
        <v>3500</v>
      </c>
      <c r="I879" s="15">
        <v>3850</v>
      </c>
    </row>
    <row r="880" spans="2:9" ht="15.6" x14ac:dyDescent="0.3">
      <c r="B880" s="16" t="s">
        <v>29</v>
      </c>
      <c r="C880" s="16"/>
      <c r="D880" s="17">
        <f>SUM(D867:D879)</f>
        <v>83659870</v>
      </c>
      <c r="E880" s="18"/>
      <c r="F880" s="17">
        <f>SUM(F867:F879)</f>
        <v>41342780</v>
      </c>
      <c r="G880" s="17">
        <f>SUM(G867:G879)</f>
        <v>0</v>
      </c>
      <c r="H880" s="19"/>
      <c r="I880" s="19"/>
    </row>
    <row r="882" spans="2:9" ht="15.6" x14ac:dyDescent="0.3">
      <c r="B882" s="13" t="s">
        <v>86</v>
      </c>
      <c r="C882" s="13"/>
      <c r="D882" s="13"/>
    </row>
    <row r="883" spans="2:9" x14ac:dyDescent="0.3">
      <c r="B883" s="14" t="s">
        <v>12</v>
      </c>
      <c r="C883" s="15">
        <v>100</v>
      </c>
      <c r="D883" s="15">
        <v>23095</v>
      </c>
      <c r="E883" s="15">
        <v>200</v>
      </c>
      <c r="F883" s="15">
        <v>49770</v>
      </c>
      <c r="G883" s="15">
        <v>0</v>
      </c>
      <c r="H883" s="15">
        <v>0</v>
      </c>
      <c r="I883" s="15">
        <v>0</v>
      </c>
    </row>
    <row r="884" spans="2:9" x14ac:dyDescent="0.3">
      <c r="B884" s="14" t="s">
        <v>14</v>
      </c>
      <c r="C884" s="15">
        <v>145</v>
      </c>
      <c r="D884" s="15">
        <v>27885</v>
      </c>
      <c r="E884" s="15">
        <v>1080</v>
      </c>
      <c r="F884" s="15">
        <v>208505</v>
      </c>
      <c r="G884" s="15">
        <v>21375</v>
      </c>
      <c r="H884" s="15">
        <v>2000</v>
      </c>
      <c r="I884" s="15">
        <v>0</v>
      </c>
    </row>
    <row r="885" spans="2:9" x14ac:dyDescent="0.3">
      <c r="B885" s="14" t="s">
        <v>15</v>
      </c>
      <c r="C885" s="15">
        <v>4900</v>
      </c>
      <c r="D885" s="15">
        <v>1216385</v>
      </c>
      <c r="E885" s="15">
        <v>0</v>
      </c>
      <c r="F885" s="15">
        <v>0</v>
      </c>
      <c r="G885" s="15">
        <v>0</v>
      </c>
      <c r="H885" s="15">
        <v>4900</v>
      </c>
      <c r="I885" s="15">
        <v>0</v>
      </c>
    </row>
    <row r="886" spans="2:9" x14ac:dyDescent="0.3">
      <c r="B886" s="14" t="s">
        <v>16</v>
      </c>
      <c r="C886" s="15">
        <v>15990</v>
      </c>
      <c r="D886" s="15">
        <v>6574235</v>
      </c>
      <c r="E886" s="15">
        <v>2390</v>
      </c>
      <c r="F886" s="15">
        <v>55605</v>
      </c>
      <c r="G886" s="15">
        <v>965045</v>
      </c>
      <c r="H886" s="15">
        <v>21000</v>
      </c>
      <c r="I886" s="15">
        <v>1000</v>
      </c>
    </row>
    <row r="887" spans="2:9" x14ac:dyDescent="0.3">
      <c r="B887" s="14" t="s">
        <v>17</v>
      </c>
      <c r="C887" s="15">
        <v>8100</v>
      </c>
      <c r="D887" s="15">
        <v>115030</v>
      </c>
      <c r="E887" s="15">
        <v>24700</v>
      </c>
      <c r="F887" s="15">
        <v>398665</v>
      </c>
      <c r="G887" s="15">
        <v>36460</v>
      </c>
      <c r="H887" s="15">
        <v>0</v>
      </c>
      <c r="I887" s="15">
        <v>18000</v>
      </c>
    </row>
    <row r="888" spans="2:9" x14ac:dyDescent="0.3">
      <c r="B888" s="14" t="s">
        <v>18</v>
      </c>
      <c r="C888" s="15">
        <v>155594</v>
      </c>
      <c r="D888" s="15">
        <v>59973047</v>
      </c>
      <c r="E888" s="15">
        <v>119010</v>
      </c>
      <c r="F888" s="15">
        <v>35676846</v>
      </c>
      <c r="G888" s="15">
        <v>11964322</v>
      </c>
      <c r="H888" s="15">
        <v>70500</v>
      </c>
      <c r="I888" s="15">
        <v>31100</v>
      </c>
    </row>
    <row r="889" spans="2:9" x14ac:dyDescent="0.3">
      <c r="B889" s="14" t="s">
        <v>19</v>
      </c>
      <c r="C889" s="15">
        <v>9130</v>
      </c>
      <c r="D889" s="15">
        <v>4183916</v>
      </c>
      <c r="E889" s="15">
        <v>4840</v>
      </c>
      <c r="F889" s="15">
        <v>1737270</v>
      </c>
      <c r="G889" s="15">
        <v>573520</v>
      </c>
      <c r="H889" s="15">
        <v>5000</v>
      </c>
      <c r="I889" s="15">
        <v>0</v>
      </c>
    </row>
    <row r="890" spans="2:9" x14ac:dyDescent="0.3">
      <c r="B890" s="14" t="s">
        <v>20</v>
      </c>
      <c r="C890" s="15">
        <v>0</v>
      </c>
      <c r="D890" s="15">
        <v>0</v>
      </c>
      <c r="E890" s="15">
        <v>0</v>
      </c>
      <c r="F890" s="15">
        <v>0</v>
      </c>
      <c r="G890" s="15">
        <v>0</v>
      </c>
      <c r="H890" s="15">
        <v>12750000</v>
      </c>
      <c r="I890" s="15">
        <v>48759500</v>
      </c>
    </row>
    <row r="891" spans="2:9" x14ac:dyDescent="0.3">
      <c r="B891" s="14" t="s">
        <v>24</v>
      </c>
      <c r="C891" s="15">
        <v>2500</v>
      </c>
      <c r="D891" s="15">
        <v>211725</v>
      </c>
      <c r="E891" s="15">
        <v>4890</v>
      </c>
      <c r="F891" s="15">
        <v>299580</v>
      </c>
      <c r="G891" s="15">
        <v>179864</v>
      </c>
      <c r="H891" s="15">
        <v>0</v>
      </c>
      <c r="I891" s="15">
        <v>4000</v>
      </c>
    </row>
    <row r="892" spans="2:9" x14ac:dyDescent="0.3">
      <c r="B892" s="14" t="s">
        <v>25</v>
      </c>
      <c r="C892" s="15">
        <v>30971</v>
      </c>
      <c r="D892" s="15">
        <v>2288504</v>
      </c>
      <c r="E892" s="15">
        <v>57803</v>
      </c>
      <c r="F892" s="15">
        <v>2940370</v>
      </c>
      <c r="G892" s="15">
        <v>2007730</v>
      </c>
      <c r="H892" s="15">
        <v>15000</v>
      </c>
      <c r="I892" s="15">
        <v>51500</v>
      </c>
    </row>
    <row r="893" spans="2:9" x14ac:dyDescent="0.3">
      <c r="B893" s="14" t="s">
        <v>26</v>
      </c>
      <c r="C893" s="15">
        <v>3700</v>
      </c>
      <c r="D893" s="15">
        <v>11101</v>
      </c>
      <c r="E893" s="15">
        <v>31730</v>
      </c>
      <c r="F893" s="15">
        <v>120375</v>
      </c>
      <c r="G893" s="15">
        <v>0</v>
      </c>
      <c r="H893" s="15">
        <v>0</v>
      </c>
      <c r="I893" s="15">
        <v>0</v>
      </c>
    </row>
    <row r="894" spans="2:9" x14ac:dyDescent="0.3">
      <c r="B894" s="14" t="s">
        <v>27</v>
      </c>
      <c r="C894" s="15">
        <v>670</v>
      </c>
      <c r="D894" s="15">
        <v>6660</v>
      </c>
      <c r="E894" s="15">
        <v>29760</v>
      </c>
      <c r="F894" s="15">
        <v>371104</v>
      </c>
      <c r="G894" s="15">
        <v>65690</v>
      </c>
      <c r="H894" s="15">
        <v>0</v>
      </c>
      <c r="I894" s="15">
        <v>30000</v>
      </c>
    </row>
    <row r="895" spans="2:9" x14ac:dyDescent="0.3">
      <c r="B895" s="14" t="s">
        <v>28</v>
      </c>
      <c r="C895" s="15">
        <v>7988</v>
      </c>
      <c r="D895" s="15">
        <v>2770182</v>
      </c>
      <c r="E895" s="15">
        <v>8118</v>
      </c>
      <c r="F895" s="15">
        <v>2527070</v>
      </c>
      <c r="G895" s="15">
        <v>405964</v>
      </c>
      <c r="H895" s="15">
        <v>10000</v>
      </c>
      <c r="I895" s="15">
        <v>9450</v>
      </c>
    </row>
    <row r="896" spans="2:9" ht="15.6" x14ac:dyDescent="0.3">
      <c r="B896" s="16" t="s">
        <v>29</v>
      </c>
      <c r="C896" s="16"/>
      <c r="D896" s="17">
        <f>SUM(D883:D895)</f>
        <v>77401765</v>
      </c>
      <c r="E896" s="18"/>
      <c r="F896" s="17">
        <f>SUM(F883:F895)</f>
        <v>44385160</v>
      </c>
      <c r="G896" s="17">
        <f>SUM(G883:G895)</f>
        <v>16219970</v>
      </c>
      <c r="H896" s="19"/>
      <c r="I896" s="19"/>
    </row>
    <row r="898" spans="2:9" ht="15.6" x14ac:dyDescent="0.3">
      <c r="B898" s="13" t="s">
        <v>87</v>
      </c>
      <c r="C898" s="13"/>
      <c r="D898" s="13"/>
    </row>
    <row r="899" spans="2:9" x14ac:dyDescent="0.3">
      <c r="B899" s="14" t="s">
        <v>14</v>
      </c>
      <c r="C899" s="15">
        <v>0</v>
      </c>
      <c r="D899" s="15">
        <v>0</v>
      </c>
      <c r="E899" s="15">
        <v>0</v>
      </c>
      <c r="F899" s="15">
        <v>0</v>
      </c>
      <c r="G899" s="15">
        <v>0</v>
      </c>
      <c r="H899" s="15">
        <v>13500</v>
      </c>
      <c r="I899" s="15">
        <v>10500</v>
      </c>
    </row>
    <row r="900" spans="2:9" x14ac:dyDescent="0.3">
      <c r="B900" s="14" t="s">
        <v>15</v>
      </c>
      <c r="C900" s="15">
        <v>0</v>
      </c>
      <c r="D900" s="15">
        <v>0</v>
      </c>
      <c r="E900" s="15">
        <v>0</v>
      </c>
      <c r="F900" s="15">
        <v>0</v>
      </c>
      <c r="G900" s="15">
        <v>0</v>
      </c>
      <c r="H900" s="15">
        <v>10000</v>
      </c>
      <c r="I900" s="15">
        <v>14100</v>
      </c>
    </row>
    <row r="901" spans="2:9" x14ac:dyDescent="0.3">
      <c r="B901" s="14" t="s">
        <v>16</v>
      </c>
      <c r="C901" s="15">
        <v>0</v>
      </c>
      <c r="D901" s="15">
        <v>0</v>
      </c>
      <c r="E901" s="15">
        <v>0</v>
      </c>
      <c r="F901" s="15">
        <v>0</v>
      </c>
      <c r="G901" s="15">
        <v>0</v>
      </c>
      <c r="H901" s="15">
        <v>125500</v>
      </c>
      <c r="I901" s="15">
        <v>144500</v>
      </c>
    </row>
    <row r="902" spans="2:9" x14ac:dyDescent="0.3">
      <c r="B902" s="14" t="s">
        <v>32</v>
      </c>
      <c r="C902" s="15">
        <v>0</v>
      </c>
      <c r="D902" s="15">
        <v>0</v>
      </c>
      <c r="E902" s="15">
        <v>0</v>
      </c>
      <c r="F902" s="15">
        <v>0</v>
      </c>
      <c r="G902" s="15">
        <v>0</v>
      </c>
      <c r="H902" s="15">
        <v>600</v>
      </c>
      <c r="I902" s="15">
        <v>1000</v>
      </c>
    </row>
    <row r="903" spans="2:9" x14ac:dyDescent="0.3">
      <c r="B903" s="14" t="s">
        <v>17</v>
      </c>
      <c r="C903" s="15">
        <v>0</v>
      </c>
      <c r="D903" s="15">
        <v>0</v>
      </c>
      <c r="E903" s="15">
        <v>0</v>
      </c>
      <c r="F903" s="15">
        <v>0</v>
      </c>
      <c r="G903" s="15">
        <v>0</v>
      </c>
      <c r="H903" s="15">
        <v>123000</v>
      </c>
      <c r="I903" s="15">
        <v>50000</v>
      </c>
    </row>
    <row r="904" spans="2:9" x14ac:dyDescent="0.3">
      <c r="B904" s="14" t="s">
        <v>18</v>
      </c>
      <c r="C904" s="15">
        <v>0</v>
      </c>
      <c r="D904" s="15">
        <v>0</v>
      </c>
      <c r="E904" s="15">
        <v>0</v>
      </c>
      <c r="F904" s="15">
        <v>0</v>
      </c>
      <c r="G904" s="15">
        <v>0</v>
      </c>
      <c r="H904" s="15">
        <v>408780</v>
      </c>
      <c r="I904" s="15">
        <v>477000</v>
      </c>
    </row>
    <row r="905" spans="2:9" x14ac:dyDescent="0.3">
      <c r="B905" s="14" t="s">
        <v>19</v>
      </c>
      <c r="C905" s="15">
        <v>0</v>
      </c>
      <c r="D905" s="15">
        <v>0</v>
      </c>
      <c r="E905" s="15">
        <v>0</v>
      </c>
      <c r="F905" s="15">
        <v>0</v>
      </c>
      <c r="G905" s="15">
        <v>0</v>
      </c>
      <c r="H905" s="15">
        <v>49200</v>
      </c>
      <c r="I905" s="15">
        <v>47500</v>
      </c>
    </row>
    <row r="906" spans="2:9" x14ac:dyDescent="0.3">
      <c r="B906" s="14" t="s">
        <v>20</v>
      </c>
      <c r="C906" s="15">
        <v>0</v>
      </c>
      <c r="D906" s="15">
        <v>0</v>
      </c>
      <c r="E906" s="15">
        <v>0</v>
      </c>
      <c r="F906" s="15">
        <v>0</v>
      </c>
      <c r="G906" s="15">
        <v>0</v>
      </c>
      <c r="H906" s="15">
        <v>314677130</v>
      </c>
      <c r="I906" s="15">
        <v>282660130</v>
      </c>
    </row>
    <row r="907" spans="2:9" x14ac:dyDescent="0.3">
      <c r="B907" s="14" t="s">
        <v>24</v>
      </c>
      <c r="C907" s="15">
        <v>0</v>
      </c>
      <c r="D907" s="15">
        <v>0</v>
      </c>
      <c r="E907" s="15">
        <v>0</v>
      </c>
      <c r="F907" s="15">
        <v>0</v>
      </c>
      <c r="G907" s="15">
        <v>0</v>
      </c>
      <c r="H907" s="15">
        <v>27000</v>
      </c>
      <c r="I907" s="15">
        <v>10000</v>
      </c>
    </row>
    <row r="908" spans="2:9" x14ac:dyDescent="0.3">
      <c r="B908" s="14" t="s">
        <v>25</v>
      </c>
      <c r="C908" s="15">
        <v>0</v>
      </c>
      <c r="D908" s="15">
        <v>0</v>
      </c>
      <c r="E908" s="15">
        <v>0</v>
      </c>
      <c r="F908" s="15">
        <v>0</v>
      </c>
      <c r="G908" s="15">
        <v>0</v>
      </c>
      <c r="H908" s="15">
        <v>189500</v>
      </c>
      <c r="I908" s="15">
        <v>201000</v>
      </c>
    </row>
    <row r="909" spans="2:9" x14ac:dyDescent="0.3">
      <c r="B909" s="14" t="s">
        <v>27</v>
      </c>
      <c r="C909" s="15">
        <v>0</v>
      </c>
      <c r="D909" s="15">
        <v>0</v>
      </c>
      <c r="E909" s="15">
        <v>0</v>
      </c>
      <c r="F909" s="15">
        <v>0</v>
      </c>
      <c r="G909" s="15">
        <v>0</v>
      </c>
      <c r="H909" s="15">
        <v>89000</v>
      </c>
      <c r="I909" s="15">
        <v>135000</v>
      </c>
    </row>
    <row r="910" spans="2:9" x14ac:dyDescent="0.3">
      <c r="B910" s="14" t="s">
        <v>28</v>
      </c>
      <c r="C910" s="15">
        <v>0</v>
      </c>
      <c r="D910" s="15">
        <v>0</v>
      </c>
      <c r="E910" s="15">
        <v>0</v>
      </c>
      <c r="F910" s="15">
        <v>0</v>
      </c>
      <c r="G910" s="15">
        <v>0</v>
      </c>
      <c r="H910" s="15">
        <v>77050</v>
      </c>
      <c r="I910" s="15">
        <v>64700</v>
      </c>
    </row>
    <row r="911" spans="2:9" ht="15.6" x14ac:dyDescent="0.3">
      <c r="B911" s="16" t="s">
        <v>29</v>
      </c>
      <c r="C911" s="16"/>
      <c r="D911" s="17">
        <f>SUM(D899:D910)</f>
        <v>0</v>
      </c>
      <c r="E911" s="18"/>
      <c r="F911" s="17">
        <f>SUM(F899:F910)</f>
        <v>0</v>
      </c>
      <c r="G911" s="17">
        <f>SUM(G899:G910)</f>
        <v>0</v>
      </c>
      <c r="H911" s="19"/>
      <c r="I911" s="19"/>
    </row>
    <row r="913" spans="2:9" ht="15.6" x14ac:dyDescent="0.3">
      <c r="B913" s="13" t="s">
        <v>88</v>
      </c>
      <c r="C913" s="13"/>
      <c r="D913" s="13"/>
    </row>
    <row r="914" spans="2:9" x14ac:dyDescent="0.3">
      <c r="B914" s="14" t="s">
        <v>12</v>
      </c>
      <c r="C914" s="15">
        <v>0</v>
      </c>
      <c r="D914" s="15">
        <v>0</v>
      </c>
      <c r="E914" s="15">
        <v>190</v>
      </c>
      <c r="F914" s="15">
        <v>46910</v>
      </c>
      <c r="G914" s="15">
        <v>0</v>
      </c>
      <c r="H914" s="15">
        <v>0</v>
      </c>
      <c r="I914" s="15">
        <v>0</v>
      </c>
    </row>
    <row r="915" spans="2:9" x14ac:dyDescent="0.3">
      <c r="B915" s="14" t="s">
        <v>14</v>
      </c>
      <c r="C915" s="15">
        <v>750</v>
      </c>
      <c r="D915" s="15">
        <v>143112</v>
      </c>
      <c r="E915" s="15">
        <v>1980</v>
      </c>
      <c r="F915" s="15">
        <v>422887</v>
      </c>
      <c r="G915" s="15">
        <v>0</v>
      </c>
      <c r="H915" s="15">
        <v>2000</v>
      </c>
      <c r="I915" s="15">
        <v>1500</v>
      </c>
    </row>
    <row r="916" spans="2:9" x14ac:dyDescent="0.3">
      <c r="B916" s="14" t="s">
        <v>15</v>
      </c>
      <c r="C916" s="15">
        <v>4610</v>
      </c>
      <c r="D916" s="15">
        <v>1167461</v>
      </c>
      <c r="E916" s="15">
        <v>1500</v>
      </c>
      <c r="F916" s="15">
        <v>401625</v>
      </c>
      <c r="G916" s="15">
        <v>0</v>
      </c>
      <c r="H916" s="15">
        <v>3500</v>
      </c>
      <c r="I916" s="15">
        <v>0</v>
      </c>
    </row>
    <row r="917" spans="2:9" x14ac:dyDescent="0.3">
      <c r="B917" s="14" t="s">
        <v>16</v>
      </c>
      <c r="C917" s="15">
        <v>66110</v>
      </c>
      <c r="D917" s="15">
        <v>27416364</v>
      </c>
      <c r="E917" s="15">
        <v>25070</v>
      </c>
      <c r="F917" s="15">
        <v>10476641</v>
      </c>
      <c r="G917" s="15">
        <v>0</v>
      </c>
      <c r="H917" s="15">
        <v>56500</v>
      </c>
      <c r="I917" s="15">
        <v>15500</v>
      </c>
    </row>
    <row r="918" spans="2:9" x14ac:dyDescent="0.3">
      <c r="B918" s="14" t="s">
        <v>17</v>
      </c>
      <c r="C918" s="15">
        <v>30700</v>
      </c>
      <c r="D918" s="15">
        <v>467825</v>
      </c>
      <c r="E918" s="15">
        <v>88400</v>
      </c>
      <c r="F918" s="15">
        <v>1481941</v>
      </c>
      <c r="G918" s="15">
        <v>0</v>
      </c>
      <c r="H918" s="15">
        <v>0</v>
      </c>
      <c r="I918" s="15">
        <v>60000</v>
      </c>
    </row>
    <row r="919" spans="2:9" x14ac:dyDescent="0.3">
      <c r="B919" s="14" t="s">
        <v>18</v>
      </c>
      <c r="C919" s="15">
        <v>376206</v>
      </c>
      <c r="D919" s="15">
        <v>146804916</v>
      </c>
      <c r="E919" s="15">
        <v>167333</v>
      </c>
      <c r="F919" s="15">
        <v>66165108</v>
      </c>
      <c r="G919" s="15">
        <v>0</v>
      </c>
      <c r="H919" s="15">
        <v>241000</v>
      </c>
      <c r="I919" s="15">
        <v>36600</v>
      </c>
    </row>
    <row r="920" spans="2:9" x14ac:dyDescent="0.3">
      <c r="B920" s="14" t="s">
        <v>19</v>
      </c>
      <c r="C920" s="15">
        <v>25100</v>
      </c>
      <c r="D920" s="15">
        <v>11642041</v>
      </c>
      <c r="E920" s="15">
        <v>19620</v>
      </c>
      <c r="F920" s="15">
        <v>9270435</v>
      </c>
      <c r="G920" s="15">
        <v>0</v>
      </c>
      <c r="H920" s="15">
        <v>19000</v>
      </c>
      <c r="I920" s="15">
        <v>12700</v>
      </c>
    </row>
    <row r="921" spans="2:9" x14ac:dyDescent="0.3">
      <c r="B921" s="14" t="s">
        <v>20</v>
      </c>
      <c r="C921" s="15">
        <v>0</v>
      </c>
      <c r="D921" s="15">
        <v>0</v>
      </c>
      <c r="E921" s="15">
        <v>0</v>
      </c>
      <c r="F921" s="15">
        <v>0</v>
      </c>
      <c r="G921" s="15">
        <v>0</v>
      </c>
      <c r="H921" s="15">
        <v>15084870</v>
      </c>
      <c r="I921" s="15">
        <v>99557690</v>
      </c>
    </row>
    <row r="922" spans="2:9" x14ac:dyDescent="0.3">
      <c r="B922" s="14" t="s">
        <v>24</v>
      </c>
      <c r="C922" s="15">
        <v>700</v>
      </c>
      <c r="D922" s="15">
        <v>63545</v>
      </c>
      <c r="E922" s="15">
        <v>24120</v>
      </c>
      <c r="F922" s="15">
        <v>2323067</v>
      </c>
      <c r="G922" s="15">
        <v>0</v>
      </c>
      <c r="H922" s="15">
        <v>0</v>
      </c>
      <c r="I922" s="15">
        <v>21000</v>
      </c>
    </row>
    <row r="923" spans="2:9" x14ac:dyDescent="0.3">
      <c r="B923" s="14" t="s">
        <v>25</v>
      </c>
      <c r="C923" s="15">
        <v>50701</v>
      </c>
      <c r="D923" s="15">
        <v>3928177</v>
      </c>
      <c r="E923" s="15">
        <v>120615</v>
      </c>
      <c r="F923" s="15">
        <v>9735472</v>
      </c>
      <c r="G923" s="15">
        <v>0</v>
      </c>
      <c r="H923" s="15">
        <v>11100</v>
      </c>
      <c r="I923" s="15">
        <v>66100</v>
      </c>
    </row>
    <row r="924" spans="2:9" x14ac:dyDescent="0.3">
      <c r="B924" s="14" t="s">
        <v>26</v>
      </c>
      <c r="C924" s="15">
        <v>4520</v>
      </c>
      <c r="D924" s="15">
        <v>13601</v>
      </c>
      <c r="E924" s="15">
        <v>24930</v>
      </c>
      <c r="F924" s="15">
        <v>97391</v>
      </c>
      <c r="G924" s="15">
        <v>0</v>
      </c>
      <c r="H924" s="15">
        <v>0</v>
      </c>
      <c r="I924" s="15">
        <v>0</v>
      </c>
    </row>
    <row r="925" spans="2:9" x14ac:dyDescent="0.3">
      <c r="B925" s="14" t="s">
        <v>38</v>
      </c>
      <c r="C925" s="15">
        <v>250</v>
      </c>
      <c r="D925" s="15">
        <v>1750</v>
      </c>
      <c r="E925" s="15">
        <v>0</v>
      </c>
      <c r="F925" s="15">
        <v>0</v>
      </c>
      <c r="G925" s="15">
        <v>0</v>
      </c>
      <c r="H925" s="15">
        <v>0</v>
      </c>
      <c r="I925" s="15">
        <v>0</v>
      </c>
    </row>
    <row r="926" spans="2:9" x14ac:dyDescent="0.3">
      <c r="B926" s="14" t="s">
        <v>27</v>
      </c>
      <c r="C926" s="15">
        <v>560</v>
      </c>
      <c r="D926" s="15">
        <v>5490</v>
      </c>
      <c r="E926" s="15">
        <v>10260</v>
      </c>
      <c r="F926" s="15">
        <v>153835</v>
      </c>
      <c r="G926" s="15">
        <v>0</v>
      </c>
      <c r="H926" s="15">
        <v>0</v>
      </c>
      <c r="I926" s="15">
        <v>15000</v>
      </c>
    </row>
    <row r="927" spans="2:9" x14ac:dyDescent="0.3">
      <c r="B927" s="14" t="s">
        <v>28</v>
      </c>
      <c r="C927" s="15">
        <v>27227</v>
      </c>
      <c r="D927" s="15">
        <v>9556558</v>
      </c>
      <c r="E927" s="15">
        <v>44355</v>
      </c>
      <c r="F927" s="15">
        <v>15815848</v>
      </c>
      <c r="G927" s="15">
        <v>0</v>
      </c>
      <c r="H927" s="15">
        <v>14200</v>
      </c>
      <c r="I927" s="15">
        <v>30250</v>
      </c>
    </row>
    <row r="928" spans="2:9" ht="15.6" x14ac:dyDescent="0.3">
      <c r="B928" s="16" t="s">
        <v>29</v>
      </c>
      <c r="C928" s="16"/>
      <c r="D928" s="17">
        <f>SUM(D914:D927)</f>
        <v>201210840</v>
      </c>
      <c r="E928" s="18"/>
      <c r="F928" s="17">
        <f>SUM(F914:F927)</f>
        <v>116391160</v>
      </c>
      <c r="G928" s="17">
        <f>SUM(G914:G927)</f>
        <v>0</v>
      </c>
      <c r="H928" s="19"/>
      <c r="I928" s="19"/>
    </row>
    <row r="930" spans="2:9" ht="15.6" x14ac:dyDescent="0.3">
      <c r="B930" s="13" t="s">
        <v>89</v>
      </c>
      <c r="C930" s="13"/>
      <c r="D930" s="13"/>
    </row>
    <row r="931" spans="2:9" x14ac:dyDescent="0.3">
      <c r="B931" s="14" t="s">
        <v>14</v>
      </c>
      <c r="C931" s="15">
        <v>60</v>
      </c>
      <c r="D931" s="15">
        <v>11550</v>
      </c>
      <c r="E931" s="15">
        <v>515</v>
      </c>
      <c r="F931" s="15">
        <v>109625</v>
      </c>
      <c r="G931" s="15">
        <v>0</v>
      </c>
      <c r="H931" s="15">
        <v>1500</v>
      </c>
      <c r="I931" s="15">
        <v>0</v>
      </c>
    </row>
    <row r="932" spans="2:9" x14ac:dyDescent="0.3">
      <c r="B932" s="14" t="s">
        <v>16</v>
      </c>
      <c r="C932" s="15">
        <v>12680</v>
      </c>
      <c r="D932" s="15">
        <v>5171226</v>
      </c>
      <c r="E932" s="15">
        <v>100</v>
      </c>
      <c r="F932" s="15">
        <v>42950</v>
      </c>
      <c r="G932" s="15">
        <v>0</v>
      </c>
      <c r="H932" s="15">
        <v>12500</v>
      </c>
      <c r="I932" s="15">
        <v>0</v>
      </c>
    </row>
    <row r="933" spans="2:9" x14ac:dyDescent="0.3">
      <c r="B933" s="14" t="s">
        <v>32</v>
      </c>
      <c r="C933" s="15">
        <v>0</v>
      </c>
      <c r="D933" s="15">
        <v>0</v>
      </c>
      <c r="E933" s="15">
        <v>400</v>
      </c>
      <c r="F933" s="15">
        <v>23030</v>
      </c>
      <c r="G933" s="15">
        <v>0</v>
      </c>
      <c r="H933" s="15">
        <v>0</v>
      </c>
      <c r="I933" s="15">
        <v>400</v>
      </c>
    </row>
    <row r="934" spans="2:9" x14ac:dyDescent="0.3">
      <c r="B934" s="14" t="s">
        <v>17</v>
      </c>
      <c r="C934" s="15">
        <v>4000</v>
      </c>
      <c r="D934" s="15">
        <v>58382</v>
      </c>
      <c r="E934" s="15">
        <v>15200</v>
      </c>
      <c r="F934" s="15">
        <v>163135</v>
      </c>
      <c r="G934" s="15">
        <v>107275</v>
      </c>
      <c r="H934" s="15">
        <v>0</v>
      </c>
      <c r="I934" s="15">
        <v>10000</v>
      </c>
    </row>
    <row r="935" spans="2:9" x14ac:dyDescent="0.3">
      <c r="B935" s="14" t="s">
        <v>18</v>
      </c>
      <c r="C935" s="15">
        <v>114676</v>
      </c>
      <c r="D935" s="15">
        <v>44151145</v>
      </c>
      <c r="E935" s="15">
        <v>79849</v>
      </c>
      <c r="F935" s="15">
        <v>23618372</v>
      </c>
      <c r="G935" s="15">
        <v>8334250</v>
      </c>
      <c r="H935" s="15">
        <v>59500</v>
      </c>
      <c r="I935" s="15">
        <v>15290</v>
      </c>
    </row>
    <row r="936" spans="2:9" x14ac:dyDescent="0.3">
      <c r="B936" s="14" t="s">
        <v>19</v>
      </c>
      <c r="C936" s="15">
        <v>3780</v>
      </c>
      <c r="D936" s="15">
        <v>1727090</v>
      </c>
      <c r="E936" s="15">
        <v>1120</v>
      </c>
      <c r="F936" s="15">
        <v>487585</v>
      </c>
      <c r="G936" s="15">
        <v>47950</v>
      </c>
      <c r="H936" s="15">
        <v>3900</v>
      </c>
      <c r="I936" s="15">
        <v>500</v>
      </c>
    </row>
    <row r="937" spans="2:9" x14ac:dyDescent="0.3">
      <c r="B937" s="14" t="s">
        <v>20</v>
      </c>
      <c r="C937" s="15">
        <v>0</v>
      </c>
      <c r="D937" s="15">
        <v>0</v>
      </c>
      <c r="E937" s="15">
        <v>0</v>
      </c>
      <c r="F937" s="15">
        <v>0</v>
      </c>
      <c r="G937" s="15">
        <v>0</v>
      </c>
      <c r="H937" s="15">
        <v>11350000</v>
      </c>
      <c r="I937" s="15">
        <v>48191000</v>
      </c>
    </row>
    <row r="938" spans="2:9" x14ac:dyDescent="0.3">
      <c r="B938" s="14" t="s">
        <v>21</v>
      </c>
      <c r="C938" s="15">
        <v>860</v>
      </c>
      <c r="D938" s="15">
        <v>75680</v>
      </c>
      <c r="E938" s="15">
        <v>0</v>
      </c>
      <c r="F938" s="15">
        <v>0</v>
      </c>
      <c r="G938" s="15">
        <v>0</v>
      </c>
      <c r="H938" s="15">
        <v>0</v>
      </c>
      <c r="I938" s="15">
        <v>0</v>
      </c>
    </row>
    <row r="939" spans="2:9" x14ac:dyDescent="0.3">
      <c r="B939" s="14" t="s">
        <v>22</v>
      </c>
      <c r="C939" s="15">
        <v>0</v>
      </c>
      <c r="D939" s="15">
        <v>0</v>
      </c>
      <c r="E939" s="15">
        <v>16000</v>
      </c>
      <c r="F939" s="15">
        <v>42270</v>
      </c>
      <c r="G939" s="15">
        <v>0</v>
      </c>
      <c r="H939" s="15">
        <v>0</v>
      </c>
      <c r="I939" s="15">
        <v>0</v>
      </c>
    </row>
    <row r="940" spans="2:9" x14ac:dyDescent="0.3">
      <c r="B940" s="14" t="s">
        <v>23</v>
      </c>
      <c r="C940" s="15">
        <v>0</v>
      </c>
      <c r="D940" s="15">
        <v>0</v>
      </c>
      <c r="E940" s="15">
        <v>500</v>
      </c>
      <c r="F940" s="15">
        <v>115450</v>
      </c>
      <c r="G940" s="15">
        <v>0</v>
      </c>
      <c r="H940" s="15">
        <v>0</v>
      </c>
      <c r="I940" s="15">
        <v>0</v>
      </c>
    </row>
    <row r="941" spans="2:9" x14ac:dyDescent="0.3">
      <c r="B941" s="14" t="s">
        <v>24</v>
      </c>
      <c r="C941" s="15">
        <v>980</v>
      </c>
      <c r="D941" s="15">
        <v>83330</v>
      </c>
      <c r="E941" s="15">
        <v>1420</v>
      </c>
      <c r="F941" s="15">
        <v>59630</v>
      </c>
      <c r="G941" s="15">
        <v>79200</v>
      </c>
      <c r="H941" s="15">
        <v>0</v>
      </c>
      <c r="I941" s="15">
        <v>1000</v>
      </c>
    </row>
    <row r="942" spans="2:9" x14ac:dyDescent="0.3">
      <c r="B942" s="14" t="s">
        <v>25</v>
      </c>
      <c r="C942" s="15">
        <v>86750</v>
      </c>
      <c r="D942" s="15">
        <v>6398990</v>
      </c>
      <c r="E942" s="15">
        <v>36184</v>
      </c>
      <c r="F942" s="15">
        <v>2483645</v>
      </c>
      <c r="G942" s="15">
        <v>610040</v>
      </c>
      <c r="H942" s="15">
        <v>61000</v>
      </c>
      <c r="I942" s="15">
        <v>11000</v>
      </c>
    </row>
    <row r="943" spans="2:9" x14ac:dyDescent="0.3">
      <c r="B943" s="14" t="s">
        <v>26</v>
      </c>
      <c r="C943" s="15">
        <v>4130</v>
      </c>
      <c r="D943" s="15">
        <v>12390</v>
      </c>
      <c r="E943" s="15">
        <v>42600</v>
      </c>
      <c r="F943" s="15">
        <v>90001</v>
      </c>
      <c r="G943" s="15">
        <v>80400</v>
      </c>
      <c r="H943" s="15">
        <v>0</v>
      </c>
      <c r="I943" s="15">
        <v>0</v>
      </c>
    </row>
    <row r="944" spans="2:9" x14ac:dyDescent="0.3">
      <c r="B944" s="14" t="s">
        <v>27</v>
      </c>
      <c r="C944" s="15">
        <v>1465</v>
      </c>
      <c r="D944" s="15">
        <v>14355</v>
      </c>
      <c r="E944" s="15">
        <v>10050</v>
      </c>
      <c r="F944" s="15">
        <v>0</v>
      </c>
      <c r="G944" s="15">
        <v>159975</v>
      </c>
      <c r="H944" s="15">
        <v>5000</v>
      </c>
      <c r="I944" s="15">
        <v>15000</v>
      </c>
    </row>
    <row r="945" spans="2:9" x14ac:dyDescent="0.3">
      <c r="B945" s="14" t="s">
        <v>28</v>
      </c>
      <c r="C945" s="15">
        <v>5652</v>
      </c>
      <c r="D945" s="15">
        <v>1977427</v>
      </c>
      <c r="E945" s="15">
        <v>8047</v>
      </c>
      <c r="F945" s="15">
        <v>774907</v>
      </c>
      <c r="G945" s="15">
        <v>2137235</v>
      </c>
      <c r="H945" s="15">
        <v>2000</v>
      </c>
      <c r="I945" s="15">
        <v>7000</v>
      </c>
    </row>
    <row r="946" spans="2:9" ht="15.6" x14ac:dyDescent="0.3">
      <c r="B946" s="16" t="s">
        <v>29</v>
      </c>
      <c r="C946" s="16"/>
      <c r="D946" s="17">
        <f>SUM(D931:D945)</f>
        <v>59681565</v>
      </c>
      <c r="E946" s="18"/>
      <c r="F946" s="17">
        <f>SUM(F931:F945)</f>
        <v>28010600</v>
      </c>
      <c r="G946" s="17">
        <f>SUM(G931:G945)</f>
        <v>11556325</v>
      </c>
      <c r="H946" s="19"/>
      <c r="I946" s="19"/>
    </row>
    <row r="948" spans="2:9" ht="15.6" x14ac:dyDescent="0.3">
      <c r="B948" s="13" t="s">
        <v>90</v>
      </c>
      <c r="C948" s="13"/>
      <c r="D948" s="13"/>
    </row>
    <row r="949" spans="2:9" x14ac:dyDescent="0.3">
      <c r="B949" s="14" t="s">
        <v>14</v>
      </c>
      <c r="C949" s="15">
        <v>125</v>
      </c>
      <c r="D949" s="15">
        <v>23850</v>
      </c>
      <c r="E949" s="15">
        <v>785</v>
      </c>
      <c r="F949" s="15">
        <v>156535</v>
      </c>
      <c r="G949" s="15">
        <v>10764</v>
      </c>
      <c r="H949" s="15">
        <v>3000</v>
      </c>
      <c r="I949" s="15">
        <v>0</v>
      </c>
    </row>
    <row r="950" spans="2:9" x14ac:dyDescent="0.3">
      <c r="B950" s="14" t="s">
        <v>15</v>
      </c>
      <c r="C950" s="15">
        <v>3330</v>
      </c>
      <c r="D950" s="15">
        <v>838450</v>
      </c>
      <c r="E950" s="15">
        <v>0</v>
      </c>
      <c r="F950" s="15">
        <v>0</v>
      </c>
      <c r="G950" s="15">
        <v>0</v>
      </c>
      <c r="H950" s="15">
        <v>3700</v>
      </c>
      <c r="I950" s="15">
        <v>0</v>
      </c>
    </row>
    <row r="951" spans="2:9" x14ac:dyDescent="0.3">
      <c r="B951" s="14" t="s">
        <v>16</v>
      </c>
      <c r="C951" s="15">
        <v>13590</v>
      </c>
      <c r="D951" s="15">
        <v>5592752</v>
      </c>
      <c r="E951" s="15">
        <v>1310</v>
      </c>
      <c r="F951" s="15">
        <v>540360</v>
      </c>
      <c r="G951" s="15">
        <v>21400</v>
      </c>
      <c r="H951" s="15">
        <v>12500</v>
      </c>
      <c r="I951" s="15">
        <v>0</v>
      </c>
    </row>
    <row r="952" spans="2:9" x14ac:dyDescent="0.3">
      <c r="B952" s="14" t="s">
        <v>17</v>
      </c>
      <c r="C952" s="15">
        <v>1900</v>
      </c>
      <c r="D952" s="15">
        <v>27236</v>
      </c>
      <c r="E952" s="15">
        <v>5500</v>
      </c>
      <c r="F952" s="15">
        <v>72050</v>
      </c>
      <c r="G952" s="15">
        <v>28350</v>
      </c>
      <c r="H952" s="15">
        <v>0</v>
      </c>
      <c r="I952" s="15">
        <v>0</v>
      </c>
    </row>
    <row r="953" spans="2:9" x14ac:dyDescent="0.3">
      <c r="B953" s="14" t="s">
        <v>18</v>
      </c>
      <c r="C953" s="15">
        <v>87009</v>
      </c>
      <c r="D953" s="15">
        <v>33590849</v>
      </c>
      <c r="E953" s="15">
        <v>52137</v>
      </c>
      <c r="F953" s="15">
        <v>14841277</v>
      </c>
      <c r="G953" s="15">
        <v>6024907</v>
      </c>
      <c r="H953" s="15">
        <v>37000</v>
      </c>
      <c r="I953" s="15">
        <v>600</v>
      </c>
    </row>
    <row r="954" spans="2:9" x14ac:dyDescent="0.3">
      <c r="B954" s="14" t="s">
        <v>19</v>
      </c>
      <c r="C954" s="15">
        <v>7655</v>
      </c>
      <c r="D954" s="15">
        <v>3519833</v>
      </c>
      <c r="E954" s="15">
        <v>2055</v>
      </c>
      <c r="F954" s="15">
        <v>860480</v>
      </c>
      <c r="G954" s="15">
        <v>119625</v>
      </c>
      <c r="H954" s="15">
        <v>6600</v>
      </c>
      <c r="I954" s="15">
        <v>1000</v>
      </c>
    </row>
    <row r="955" spans="2:9" x14ac:dyDescent="0.3">
      <c r="B955" s="14" t="s">
        <v>20</v>
      </c>
      <c r="C955" s="15">
        <v>0</v>
      </c>
      <c r="D955" s="15">
        <v>0</v>
      </c>
      <c r="E955" s="15">
        <v>0</v>
      </c>
      <c r="F955" s="15">
        <v>0</v>
      </c>
      <c r="G955" s="15">
        <v>0</v>
      </c>
      <c r="H955" s="15">
        <v>2500000</v>
      </c>
      <c r="I955" s="15">
        <v>28375000</v>
      </c>
    </row>
    <row r="956" spans="2:9" x14ac:dyDescent="0.3">
      <c r="B956" s="14" t="s">
        <v>24</v>
      </c>
      <c r="C956" s="15">
        <v>550</v>
      </c>
      <c r="D956" s="15">
        <v>46706</v>
      </c>
      <c r="E956" s="15">
        <v>0</v>
      </c>
      <c r="F956" s="15">
        <v>0</v>
      </c>
      <c r="G956" s="15">
        <v>0</v>
      </c>
      <c r="H956" s="15">
        <v>0</v>
      </c>
      <c r="I956" s="15">
        <v>0</v>
      </c>
    </row>
    <row r="957" spans="2:9" x14ac:dyDescent="0.3">
      <c r="B957" s="14" t="s">
        <v>25</v>
      </c>
      <c r="C957" s="15">
        <v>21782</v>
      </c>
      <c r="D957" s="15">
        <v>1623824</v>
      </c>
      <c r="E957" s="15">
        <v>21261</v>
      </c>
      <c r="F957" s="15">
        <v>1232684</v>
      </c>
      <c r="G957" s="15">
        <v>576336</v>
      </c>
      <c r="H957" s="15">
        <v>15000</v>
      </c>
      <c r="I957" s="15">
        <v>12000</v>
      </c>
    </row>
    <row r="958" spans="2:9" x14ac:dyDescent="0.3">
      <c r="B958" s="14" t="s">
        <v>26</v>
      </c>
      <c r="C958" s="15">
        <v>15230</v>
      </c>
      <c r="D958" s="15">
        <v>45840</v>
      </c>
      <c r="E958" s="15">
        <v>12500</v>
      </c>
      <c r="F958" s="15">
        <v>50000</v>
      </c>
      <c r="G958" s="15">
        <v>0</v>
      </c>
      <c r="H958" s="15">
        <v>0</v>
      </c>
      <c r="I958" s="15">
        <v>0</v>
      </c>
    </row>
    <row r="959" spans="2:9" x14ac:dyDescent="0.3">
      <c r="B959" s="14" t="s">
        <v>27</v>
      </c>
      <c r="C959" s="15">
        <v>0</v>
      </c>
      <c r="D959" s="15">
        <v>0</v>
      </c>
      <c r="E959" s="15">
        <v>7780</v>
      </c>
      <c r="F959" s="15">
        <v>86670</v>
      </c>
      <c r="G959" s="15">
        <v>0</v>
      </c>
      <c r="H959" s="15">
        <v>0</v>
      </c>
      <c r="I959" s="15">
        <v>10000</v>
      </c>
    </row>
    <row r="960" spans="2:9" x14ac:dyDescent="0.3">
      <c r="B960" s="14" t="s">
        <v>28</v>
      </c>
      <c r="C960" s="15">
        <v>13045</v>
      </c>
      <c r="D960" s="15">
        <v>4581330</v>
      </c>
      <c r="E960" s="15">
        <v>15560</v>
      </c>
      <c r="F960" s="15">
        <v>4421694</v>
      </c>
      <c r="G960" s="15">
        <v>1152743</v>
      </c>
      <c r="H960" s="15">
        <v>10000</v>
      </c>
      <c r="I960" s="15">
        <v>16500</v>
      </c>
    </row>
    <row r="961" spans="2:9" ht="15.6" x14ac:dyDescent="0.3">
      <c r="B961" s="16" t="s">
        <v>29</v>
      </c>
      <c r="C961" s="16"/>
      <c r="D961" s="17">
        <f>SUM(D949:D960)</f>
        <v>49890670</v>
      </c>
      <c r="E961" s="18"/>
      <c r="F961" s="17">
        <f>SUM(F949:F960)</f>
        <v>22261750</v>
      </c>
      <c r="G961" s="17">
        <f>SUM(G949:G960)</f>
        <v>7934125</v>
      </c>
      <c r="H961" s="19"/>
      <c r="I961" s="19"/>
    </row>
    <row r="963" spans="2:9" ht="15.6" x14ac:dyDescent="0.3">
      <c r="B963" s="13" t="s">
        <v>91</v>
      </c>
      <c r="C963" s="13"/>
      <c r="D963" s="13"/>
    </row>
    <row r="964" spans="2:9" x14ac:dyDescent="0.3">
      <c r="B964" s="14" t="s">
        <v>18</v>
      </c>
      <c r="C964" s="15">
        <v>1000</v>
      </c>
      <c r="D964" s="15">
        <v>391900</v>
      </c>
      <c r="E964" s="15">
        <v>0</v>
      </c>
      <c r="F964" s="15">
        <v>0</v>
      </c>
      <c r="G964" s="15">
        <v>0</v>
      </c>
      <c r="H964" s="15">
        <v>1500</v>
      </c>
      <c r="I964" s="15">
        <v>0</v>
      </c>
    </row>
    <row r="965" spans="2:9" x14ac:dyDescent="0.3">
      <c r="B965" s="14" t="s">
        <v>20</v>
      </c>
      <c r="C965" s="15">
        <v>0</v>
      </c>
      <c r="D965" s="15">
        <v>0</v>
      </c>
      <c r="E965" s="15">
        <v>0</v>
      </c>
      <c r="F965" s="15">
        <v>0</v>
      </c>
      <c r="G965" s="15">
        <v>0</v>
      </c>
      <c r="H965" s="15">
        <v>0</v>
      </c>
      <c r="I965" s="15">
        <v>500000</v>
      </c>
    </row>
    <row r="966" spans="2:9" ht="15.6" x14ac:dyDescent="0.3">
      <c r="B966" s="16" t="s">
        <v>29</v>
      </c>
      <c r="C966" s="16"/>
      <c r="D966" s="17">
        <f>SUM(D964:D965)</f>
        <v>391900</v>
      </c>
      <c r="E966" s="18"/>
      <c r="F966" s="17">
        <f>SUM(F964:F965)</f>
        <v>0</v>
      </c>
      <c r="G966" s="17">
        <f>SUM(G964:G965)</f>
        <v>0</v>
      </c>
      <c r="H966" s="19"/>
      <c r="I966" s="19"/>
    </row>
    <row r="968" spans="2:9" ht="17.399999999999999" x14ac:dyDescent="0.3">
      <c r="B968" s="20" t="s">
        <v>92</v>
      </c>
      <c r="C968" s="20"/>
      <c r="D968" s="20"/>
      <c r="E968" s="20"/>
      <c r="F968" s="20"/>
      <c r="G968" s="20"/>
      <c r="H968" s="20"/>
      <c r="I968" s="20"/>
    </row>
    <row r="969" spans="2:9" ht="15.6" x14ac:dyDescent="0.3">
      <c r="B969" s="13" t="s">
        <v>93</v>
      </c>
      <c r="C969" s="13"/>
      <c r="D969" s="13"/>
    </row>
    <row r="970" spans="2:9" x14ac:dyDescent="0.3">
      <c r="B970" s="14" t="s">
        <v>12</v>
      </c>
      <c r="C970" s="15">
        <v>3600</v>
      </c>
      <c r="D970" s="15">
        <v>820800</v>
      </c>
      <c r="E970" s="15">
        <v>0</v>
      </c>
      <c r="F970" s="15">
        <v>0</v>
      </c>
      <c r="G970" s="15">
        <v>0</v>
      </c>
      <c r="H970" s="15">
        <v>3500</v>
      </c>
      <c r="I970" s="15">
        <v>0</v>
      </c>
    </row>
    <row r="971" spans="2:9" x14ac:dyDescent="0.3">
      <c r="B971" s="14" t="s">
        <v>14</v>
      </c>
      <c r="C971" s="15">
        <v>10</v>
      </c>
      <c r="D971" s="15">
        <v>1908</v>
      </c>
      <c r="E971" s="15">
        <v>180</v>
      </c>
      <c r="F971" s="15">
        <v>38550</v>
      </c>
      <c r="G971" s="15">
        <v>0</v>
      </c>
      <c r="H971" s="15">
        <v>0</v>
      </c>
      <c r="I971" s="15">
        <v>0</v>
      </c>
    </row>
    <row r="972" spans="2:9" x14ac:dyDescent="0.3">
      <c r="B972" s="14" t="s">
        <v>15</v>
      </c>
      <c r="C972" s="15">
        <v>500</v>
      </c>
      <c r="D972" s="15">
        <v>127500</v>
      </c>
      <c r="E972" s="15">
        <v>0</v>
      </c>
      <c r="F972" s="15">
        <v>0</v>
      </c>
      <c r="G972" s="15">
        <v>0</v>
      </c>
      <c r="H972" s="15">
        <v>0</v>
      </c>
      <c r="I972" s="15">
        <v>0</v>
      </c>
    </row>
    <row r="973" spans="2:9" x14ac:dyDescent="0.3">
      <c r="B973" s="14" t="s">
        <v>16</v>
      </c>
      <c r="C973" s="15">
        <v>3230</v>
      </c>
      <c r="D973" s="15">
        <v>1313338</v>
      </c>
      <c r="E973" s="15">
        <v>0</v>
      </c>
      <c r="F973" s="15">
        <v>0</v>
      </c>
      <c r="G973" s="15">
        <v>0</v>
      </c>
      <c r="H973" s="15">
        <v>3000</v>
      </c>
      <c r="I973" s="15">
        <v>0</v>
      </c>
    </row>
    <row r="974" spans="2:9" x14ac:dyDescent="0.3">
      <c r="B974" s="14" t="s">
        <v>32</v>
      </c>
      <c r="C974" s="15">
        <v>0</v>
      </c>
      <c r="D974" s="15">
        <v>0</v>
      </c>
      <c r="E974" s="15">
        <v>300</v>
      </c>
      <c r="F974" s="15">
        <v>0</v>
      </c>
      <c r="G974" s="15">
        <v>16655</v>
      </c>
      <c r="H974" s="15">
        <v>0</v>
      </c>
      <c r="I974" s="15">
        <v>0</v>
      </c>
    </row>
    <row r="975" spans="2:9" x14ac:dyDescent="0.3">
      <c r="B975" s="14" t="s">
        <v>17</v>
      </c>
      <c r="C975" s="15">
        <v>900</v>
      </c>
      <c r="D975" s="15">
        <v>12705</v>
      </c>
      <c r="E975" s="15">
        <v>19100</v>
      </c>
      <c r="F975" s="15">
        <v>325850</v>
      </c>
      <c r="G975" s="15">
        <v>0</v>
      </c>
      <c r="H975" s="15">
        <v>0</v>
      </c>
      <c r="I975" s="15">
        <v>25000</v>
      </c>
    </row>
    <row r="976" spans="2:9" x14ac:dyDescent="0.3">
      <c r="B976" s="14" t="s">
        <v>18</v>
      </c>
      <c r="C976" s="15">
        <v>103725</v>
      </c>
      <c r="D976" s="15">
        <v>39969352</v>
      </c>
      <c r="E976" s="15">
        <v>59654</v>
      </c>
      <c r="F976" s="15">
        <v>13891590</v>
      </c>
      <c r="G976" s="15">
        <v>10012035</v>
      </c>
      <c r="H976" s="15">
        <v>60000</v>
      </c>
      <c r="I976" s="15">
        <v>9000</v>
      </c>
    </row>
    <row r="977" spans="2:9" x14ac:dyDescent="0.3">
      <c r="B977" s="14" t="s">
        <v>19</v>
      </c>
      <c r="C977" s="15">
        <v>3525</v>
      </c>
      <c r="D977" s="15">
        <v>1628525</v>
      </c>
      <c r="E977" s="15">
        <v>1495</v>
      </c>
      <c r="F977" s="15">
        <v>381645</v>
      </c>
      <c r="G977" s="15">
        <v>333070</v>
      </c>
      <c r="H977" s="15">
        <v>3000</v>
      </c>
      <c r="I977" s="15">
        <v>1000</v>
      </c>
    </row>
    <row r="978" spans="2:9" x14ac:dyDescent="0.3">
      <c r="B978" s="14" t="s">
        <v>20</v>
      </c>
      <c r="C978" s="15">
        <v>0</v>
      </c>
      <c r="D978" s="15">
        <v>0</v>
      </c>
      <c r="E978" s="15">
        <v>0</v>
      </c>
      <c r="F978" s="15">
        <v>0</v>
      </c>
      <c r="G978" s="15">
        <v>0</v>
      </c>
      <c r="H978" s="15">
        <v>0</v>
      </c>
      <c r="I978" s="15">
        <v>30598500</v>
      </c>
    </row>
    <row r="979" spans="2:9" x14ac:dyDescent="0.3">
      <c r="B979" s="14" t="s">
        <v>22</v>
      </c>
      <c r="C979" s="15">
        <v>0</v>
      </c>
      <c r="D979" s="15">
        <v>0</v>
      </c>
      <c r="E979" s="15">
        <v>30000</v>
      </c>
      <c r="F979" s="15">
        <v>0</v>
      </c>
      <c r="G979" s="15">
        <v>78870</v>
      </c>
      <c r="H979" s="15">
        <v>0</v>
      </c>
      <c r="I979" s="15">
        <v>0</v>
      </c>
    </row>
    <row r="980" spans="2:9" x14ac:dyDescent="0.3">
      <c r="B980" s="14" t="s">
        <v>24</v>
      </c>
      <c r="C980" s="15">
        <v>860</v>
      </c>
      <c r="D980" s="15">
        <v>72792</v>
      </c>
      <c r="E980" s="15">
        <v>3200</v>
      </c>
      <c r="F980" s="15">
        <v>264590</v>
      </c>
      <c r="G980" s="15">
        <v>48150</v>
      </c>
      <c r="H980" s="15">
        <v>0</v>
      </c>
      <c r="I980" s="15">
        <v>4000</v>
      </c>
    </row>
    <row r="981" spans="2:9" x14ac:dyDescent="0.3">
      <c r="B981" s="14" t="s">
        <v>25</v>
      </c>
      <c r="C981" s="15">
        <v>9915</v>
      </c>
      <c r="D981" s="15">
        <v>732155</v>
      </c>
      <c r="E981" s="15">
        <v>4669</v>
      </c>
      <c r="F981" s="15">
        <v>262435</v>
      </c>
      <c r="G981" s="15">
        <v>137060</v>
      </c>
      <c r="H981" s="15">
        <v>0</v>
      </c>
      <c r="I981" s="15">
        <v>0</v>
      </c>
    </row>
    <row r="982" spans="2:9" x14ac:dyDescent="0.3">
      <c r="B982" s="14" t="s">
        <v>26</v>
      </c>
      <c r="C982" s="15">
        <v>3030</v>
      </c>
      <c r="D982" s="15">
        <v>9090</v>
      </c>
      <c r="E982" s="15">
        <v>5100</v>
      </c>
      <c r="F982" s="15">
        <v>20000</v>
      </c>
      <c r="G982" s="15">
        <v>400</v>
      </c>
      <c r="H982" s="15">
        <v>0</v>
      </c>
      <c r="I982" s="15">
        <v>0</v>
      </c>
    </row>
    <row r="983" spans="2:9" x14ac:dyDescent="0.3">
      <c r="B983" s="14" t="s">
        <v>33</v>
      </c>
      <c r="C983" s="15">
        <v>300</v>
      </c>
      <c r="D983" s="15">
        <v>600</v>
      </c>
      <c r="E983" s="15">
        <v>0</v>
      </c>
      <c r="F983" s="15">
        <v>0</v>
      </c>
      <c r="G983" s="15">
        <v>0</v>
      </c>
      <c r="H983" s="15">
        <v>0</v>
      </c>
      <c r="I983" s="15">
        <v>0</v>
      </c>
    </row>
    <row r="984" spans="2:9" x14ac:dyDescent="0.3">
      <c r="B984" s="14" t="s">
        <v>27</v>
      </c>
      <c r="C984" s="15">
        <v>1415</v>
      </c>
      <c r="D984" s="15">
        <v>13865</v>
      </c>
      <c r="E984" s="15">
        <v>22605</v>
      </c>
      <c r="F984" s="15">
        <v>191280</v>
      </c>
      <c r="G984" s="15">
        <v>170400</v>
      </c>
      <c r="H984" s="15">
        <v>0</v>
      </c>
      <c r="I984" s="15">
        <v>30000</v>
      </c>
    </row>
    <row r="985" spans="2:9" x14ac:dyDescent="0.3">
      <c r="B985" s="14" t="s">
        <v>28</v>
      </c>
      <c r="C985" s="15">
        <v>4048</v>
      </c>
      <c r="D985" s="15">
        <v>1393740</v>
      </c>
      <c r="E985" s="15">
        <v>3000</v>
      </c>
      <c r="F985" s="15">
        <v>248755</v>
      </c>
      <c r="G985" s="15">
        <v>841575</v>
      </c>
      <c r="H985" s="15">
        <v>3500</v>
      </c>
      <c r="I985" s="15">
        <v>2500</v>
      </c>
    </row>
    <row r="986" spans="2:9" ht="15.6" x14ac:dyDescent="0.3">
      <c r="B986" s="16" t="s">
        <v>29</v>
      </c>
      <c r="C986" s="16"/>
      <c r="D986" s="17">
        <f>SUM(D970:D985)</f>
        <v>46096370</v>
      </c>
      <c r="E986" s="18"/>
      <c r="F986" s="17">
        <f>SUM(F970:F985)</f>
        <v>15624695</v>
      </c>
      <c r="G986" s="17">
        <f>SUM(G970:G985)</f>
        <v>11638215</v>
      </c>
      <c r="H986" s="19"/>
      <c r="I986" s="19"/>
    </row>
    <row r="988" spans="2:9" ht="15.6" x14ac:dyDescent="0.3">
      <c r="B988" s="13" t="s">
        <v>94</v>
      </c>
      <c r="C988" s="13"/>
      <c r="D988" s="13"/>
    </row>
    <row r="989" spans="2:9" x14ac:dyDescent="0.3">
      <c r="B989" s="14" t="s">
        <v>12</v>
      </c>
      <c r="C989" s="15">
        <v>500</v>
      </c>
      <c r="D989" s="15">
        <v>115465</v>
      </c>
      <c r="E989" s="15">
        <v>0</v>
      </c>
      <c r="F989" s="15">
        <v>0</v>
      </c>
      <c r="G989" s="15">
        <v>0</v>
      </c>
      <c r="H989" s="15">
        <v>500</v>
      </c>
      <c r="I989" s="15">
        <v>0</v>
      </c>
    </row>
    <row r="990" spans="2:9" x14ac:dyDescent="0.3">
      <c r="B990" s="14" t="s">
        <v>13</v>
      </c>
      <c r="C990" s="15">
        <v>0</v>
      </c>
      <c r="D990" s="15">
        <v>0</v>
      </c>
      <c r="E990" s="15">
        <v>100</v>
      </c>
      <c r="F990" s="15">
        <v>22230</v>
      </c>
      <c r="G990" s="15">
        <v>0</v>
      </c>
      <c r="H990" s="15">
        <v>0</v>
      </c>
      <c r="I990" s="15">
        <v>300</v>
      </c>
    </row>
    <row r="991" spans="2:9" x14ac:dyDescent="0.3">
      <c r="B991" s="14" t="s">
        <v>14</v>
      </c>
      <c r="C991" s="15">
        <v>25</v>
      </c>
      <c r="D991" s="15">
        <v>4760</v>
      </c>
      <c r="E991" s="15">
        <v>0</v>
      </c>
      <c r="F991" s="15">
        <v>0</v>
      </c>
      <c r="G991" s="15">
        <v>0</v>
      </c>
      <c r="H991" s="15">
        <v>0</v>
      </c>
      <c r="I991" s="15">
        <v>0</v>
      </c>
    </row>
    <row r="992" spans="2:9" x14ac:dyDescent="0.3">
      <c r="B992" s="14" t="s">
        <v>15</v>
      </c>
      <c r="C992" s="15">
        <v>1495</v>
      </c>
      <c r="D992" s="15">
        <v>371530</v>
      </c>
      <c r="E992" s="15">
        <v>0</v>
      </c>
      <c r="F992" s="15">
        <v>0</v>
      </c>
      <c r="G992" s="15">
        <v>0</v>
      </c>
      <c r="H992" s="15">
        <v>1500</v>
      </c>
      <c r="I992" s="15">
        <v>0</v>
      </c>
    </row>
    <row r="993" spans="2:9" x14ac:dyDescent="0.3">
      <c r="B993" s="14" t="s">
        <v>16</v>
      </c>
      <c r="C993" s="15">
        <v>13230</v>
      </c>
      <c r="D993" s="15">
        <v>5403785</v>
      </c>
      <c r="E993" s="15">
        <v>1790</v>
      </c>
      <c r="F993" s="15">
        <v>613005</v>
      </c>
      <c r="G993" s="15">
        <v>152645</v>
      </c>
      <c r="H993" s="15">
        <v>14000</v>
      </c>
      <c r="I993" s="15">
        <v>0</v>
      </c>
    </row>
    <row r="994" spans="2:9" x14ac:dyDescent="0.3">
      <c r="B994" s="14" t="s">
        <v>32</v>
      </c>
      <c r="C994" s="15">
        <v>9300</v>
      </c>
      <c r="D994" s="15">
        <v>432450</v>
      </c>
      <c r="E994" s="15">
        <v>0</v>
      </c>
      <c r="F994" s="15">
        <v>0</v>
      </c>
      <c r="G994" s="15">
        <v>0</v>
      </c>
      <c r="H994" s="15">
        <v>9000</v>
      </c>
      <c r="I994" s="15">
        <v>0</v>
      </c>
    </row>
    <row r="995" spans="2:9" x14ac:dyDescent="0.3">
      <c r="B995" s="14" t="s">
        <v>17</v>
      </c>
      <c r="C995" s="15">
        <v>0</v>
      </c>
      <c r="D995" s="15">
        <v>0</v>
      </c>
      <c r="E995" s="15">
        <v>2500</v>
      </c>
      <c r="F995" s="15">
        <v>17110</v>
      </c>
      <c r="G995" s="15">
        <v>28620</v>
      </c>
      <c r="H995" s="15">
        <v>0</v>
      </c>
      <c r="I995" s="15">
        <v>5000</v>
      </c>
    </row>
    <row r="996" spans="2:9" x14ac:dyDescent="0.3">
      <c r="B996" s="14" t="s">
        <v>18</v>
      </c>
      <c r="C996" s="15">
        <v>137241</v>
      </c>
      <c r="D996" s="15">
        <v>52869015</v>
      </c>
      <c r="E996" s="15">
        <v>47710</v>
      </c>
      <c r="F996" s="15">
        <v>15466015</v>
      </c>
      <c r="G996" s="15">
        <v>3606810</v>
      </c>
      <c r="H996" s="15">
        <v>99000</v>
      </c>
      <c r="I996" s="15">
        <v>0</v>
      </c>
    </row>
    <row r="997" spans="2:9" x14ac:dyDescent="0.3">
      <c r="B997" s="14" t="s">
        <v>19</v>
      </c>
      <c r="C997" s="15">
        <v>8845</v>
      </c>
      <c r="D997" s="15">
        <v>4073774</v>
      </c>
      <c r="E997" s="15">
        <v>2275</v>
      </c>
      <c r="F997" s="15">
        <v>992130</v>
      </c>
      <c r="G997" s="15">
        <v>90710</v>
      </c>
      <c r="H997" s="15">
        <v>8000</v>
      </c>
      <c r="I997" s="15">
        <v>1500</v>
      </c>
    </row>
    <row r="998" spans="2:9" x14ac:dyDescent="0.3">
      <c r="B998" s="14" t="s">
        <v>20</v>
      </c>
      <c r="C998" s="15">
        <v>0</v>
      </c>
      <c r="D998" s="15">
        <v>0</v>
      </c>
      <c r="E998" s="15">
        <v>0</v>
      </c>
      <c r="F998" s="15">
        <v>0</v>
      </c>
      <c r="G998" s="15">
        <v>0</v>
      </c>
      <c r="H998" s="15">
        <v>1300000</v>
      </c>
      <c r="I998" s="15">
        <v>51814130</v>
      </c>
    </row>
    <row r="999" spans="2:9" x14ac:dyDescent="0.3">
      <c r="B999" s="14" t="s">
        <v>24</v>
      </c>
      <c r="C999" s="15">
        <v>660</v>
      </c>
      <c r="D999" s="15">
        <v>56212</v>
      </c>
      <c r="E999" s="15">
        <v>4690</v>
      </c>
      <c r="F999" s="15">
        <v>215880</v>
      </c>
      <c r="G999" s="15">
        <v>244100</v>
      </c>
      <c r="H999" s="15">
        <v>0</v>
      </c>
      <c r="I999" s="15">
        <v>5000</v>
      </c>
    </row>
    <row r="1000" spans="2:9" x14ac:dyDescent="0.3">
      <c r="B1000" s="14" t="s">
        <v>25</v>
      </c>
      <c r="C1000" s="15">
        <v>1567</v>
      </c>
      <c r="D1000" s="15">
        <v>115515</v>
      </c>
      <c r="E1000" s="15">
        <v>3004</v>
      </c>
      <c r="F1000" s="15">
        <v>172090</v>
      </c>
      <c r="G1000" s="15">
        <v>85250</v>
      </c>
      <c r="H1000" s="15">
        <v>0</v>
      </c>
      <c r="I1000" s="15">
        <v>0</v>
      </c>
    </row>
    <row r="1001" spans="2:9" x14ac:dyDescent="0.3">
      <c r="B1001" s="14" t="s">
        <v>26</v>
      </c>
      <c r="C1001" s="15">
        <v>0</v>
      </c>
      <c r="D1001" s="15">
        <v>0</v>
      </c>
      <c r="E1001" s="15">
        <v>5000</v>
      </c>
      <c r="F1001" s="15">
        <v>18450</v>
      </c>
      <c r="G1001" s="15">
        <v>0</v>
      </c>
      <c r="H1001" s="15">
        <v>0</v>
      </c>
      <c r="I1001" s="15">
        <v>20000</v>
      </c>
    </row>
    <row r="1002" spans="2:9" x14ac:dyDescent="0.3">
      <c r="B1002" s="14" t="s">
        <v>27</v>
      </c>
      <c r="C1002" s="15">
        <v>0</v>
      </c>
      <c r="D1002" s="15">
        <v>0</v>
      </c>
      <c r="E1002" s="15">
        <v>35500</v>
      </c>
      <c r="F1002" s="15">
        <v>524670</v>
      </c>
      <c r="G1002" s="15">
        <v>4800</v>
      </c>
      <c r="H1002" s="15">
        <v>0</v>
      </c>
      <c r="I1002" s="15">
        <v>36100</v>
      </c>
    </row>
    <row r="1003" spans="2:9" x14ac:dyDescent="0.3">
      <c r="B1003" s="14" t="s">
        <v>28</v>
      </c>
      <c r="C1003" s="15">
        <v>2711</v>
      </c>
      <c r="D1003" s="15">
        <v>938584</v>
      </c>
      <c r="E1003" s="15">
        <v>1820</v>
      </c>
      <c r="F1003" s="15">
        <v>248610</v>
      </c>
      <c r="G1003" s="15">
        <v>407930</v>
      </c>
      <c r="H1003" s="15">
        <v>1000</v>
      </c>
      <c r="I1003" s="15">
        <v>0</v>
      </c>
    </row>
    <row r="1004" spans="2:9" ht="15.6" x14ac:dyDescent="0.3">
      <c r="B1004" s="16" t="s">
        <v>29</v>
      </c>
      <c r="C1004" s="16"/>
      <c r="D1004" s="17">
        <f>SUM(D989:D1003)</f>
        <v>64381090</v>
      </c>
      <c r="E1004" s="18"/>
      <c r="F1004" s="17">
        <f>SUM(F989:F1003)</f>
        <v>18290190</v>
      </c>
      <c r="G1004" s="17">
        <f>SUM(G989:G1003)</f>
        <v>4620865</v>
      </c>
      <c r="H1004" s="19"/>
      <c r="I1004" s="19"/>
    </row>
    <row r="1006" spans="2:9" ht="15.6" x14ac:dyDescent="0.3">
      <c r="B1006" s="13" t="s">
        <v>95</v>
      </c>
      <c r="C1006" s="13"/>
      <c r="D1006" s="13"/>
    </row>
    <row r="1007" spans="2:9" x14ac:dyDescent="0.3">
      <c r="B1007" s="14" t="s">
        <v>12</v>
      </c>
      <c r="C1007" s="15">
        <v>0</v>
      </c>
      <c r="D1007" s="15">
        <v>0</v>
      </c>
      <c r="E1007" s="15">
        <v>0</v>
      </c>
      <c r="F1007" s="15">
        <v>0</v>
      </c>
      <c r="G1007" s="15">
        <v>0</v>
      </c>
      <c r="H1007" s="15">
        <v>5500</v>
      </c>
      <c r="I1007" s="15">
        <v>6500</v>
      </c>
    </row>
    <row r="1008" spans="2:9" x14ac:dyDescent="0.3">
      <c r="B1008" s="14" t="s">
        <v>13</v>
      </c>
      <c r="C1008" s="15">
        <v>0</v>
      </c>
      <c r="D1008" s="15">
        <v>0</v>
      </c>
      <c r="E1008" s="15">
        <v>0</v>
      </c>
      <c r="F1008" s="15">
        <v>0</v>
      </c>
      <c r="G1008" s="15">
        <v>0</v>
      </c>
      <c r="H1008" s="15">
        <v>300</v>
      </c>
      <c r="I1008" s="15">
        <v>300</v>
      </c>
    </row>
    <row r="1009" spans="2:9" x14ac:dyDescent="0.3">
      <c r="B1009" s="14" t="s">
        <v>14</v>
      </c>
      <c r="C1009" s="15">
        <v>0</v>
      </c>
      <c r="D1009" s="15">
        <v>0</v>
      </c>
      <c r="E1009" s="15">
        <v>0</v>
      </c>
      <c r="F1009" s="15">
        <v>0</v>
      </c>
      <c r="G1009" s="15">
        <v>0</v>
      </c>
      <c r="H1009" s="15">
        <v>3000</v>
      </c>
      <c r="I1009" s="15">
        <v>1300</v>
      </c>
    </row>
    <row r="1010" spans="2:9" x14ac:dyDescent="0.3">
      <c r="B1010" s="14" t="s">
        <v>15</v>
      </c>
      <c r="C1010" s="15">
        <v>0</v>
      </c>
      <c r="D1010" s="15">
        <v>0</v>
      </c>
      <c r="E1010" s="15">
        <v>0</v>
      </c>
      <c r="F1010" s="15">
        <v>0</v>
      </c>
      <c r="G1010" s="15">
        <v>0</v>
      </c>
      <c r="H1010" s="15">
        <v>9000</v>
      </c>
      <c r="I1010" s="15">
        <v>8000</v>
      </c>
    </row>
    <row r="1011" spans="2:9" x14ac:dyDescent="0.3">
      <c r="B1011" s="14" t="s">
        <v>16</v>
      </c>
      <c r="C1011" s="15">
        <v>0</v>
      </c>
      <c r="D1011" s="15">
        <v>0</v>
      </c>
      <c r="E1011" s="15">
        <v>0</v>
      </c>
      <c r="F1011" s="15">
        <v>0</v>
      </c>
      <c r="G1011" s="15">
        <v>0</v>
      </c>
      <c r="H1011" s="15">
        <v>178000</v>
      </c>
      <c r="I1011" s="15">
        <v>175000</v>
      </c>
    </row>
    <row r="1012" spans="2:9" x14ac:dyDescent="0.3">
      <c r="B1012" s="14" t="s">
        <v>32</v>
      </c>
      <c r="C1012" s="15">
        <v>0</v>
      </c>
      <c r="D1012" s="15">
        <v>0</v>
      </c>
      <c r="E1012" s="15">
        <v>0</v>
      </c>
      <c r="F1012" s="15">
        <v>0</v>
      </c>
      <c r="G1012" s="15">
        <v>0</v>
      </c>
      <c r="H1012" s="15">
        <v>12000</v>
      </c>
      <c r="I1012" s="15">
        <v>10345</v>
      </c>
    </row>
    <row r="1013" spans="2:9" x14ac:dyDescent="0.3">
      <c r="B1013" s="14" t="s">
        <v>17</v>
      </c>
      <c r="C1013" s="15">
        <v>0</v>
      </c>
      <c r="D1013" s="15">
        <v>0</v>
      </c>
      <c r="E1013" s="15">
        <v>0</v>
      </c>
      <c r="F1013" s="15">
        <v>0</v>
      </c>
      <c r="G1013" s="15">
        <v>0</v>
      </c>
      <c r="H1013" s="15">
        <v>99600</v>
      </c>
      <c r="I1013" s="15">
        <v>74600</v>
      </c>
    </row>
    <row r="1014" spans="2:9" x14ac:dyDescent="0.3">
      <c r="B1014" s="14" t="s">
        <v>18</v>
      </c>
      <c r="C1014" s="15">
        <v>0</v>
      </c>
      <c r="D1014" s="15">
        <v>0</v>
      </c>
      <c r="E1014" s="15">
        <v>0</v>
      </c>
      <c r="F1014" s="15">
        <v>0</v>
      </c>
      <c r="G1014" s="15">
        <v>0</v>
      </c>
      <c r="H1014" s="15">
        <v>715530</v>
      </c>
      <c r="I1014" s="15">
        <v>729100</v>
      </c>
    </row>
    <row r="1015" spans="2:9" x14ac:dyDescent="0.3">
      <c r="B1015" s="14" t="s">
        <v>19</v>
      </c>
      <c r="C1015" s="15">
        <v>0</v>
      </c>
      <c r="D1015" s="15">
        <v>0</v>
      </c>
      <c r="E1015" s="15">
        <v>0</v>
      </c>
      <c r="F1015" s="15">
        <v>0</v>
      </c>
      <c r="G1015" s="15">
        <v>0</v>
      </c>
      <c r="H1015" s="15">
        <v>38600</v>
      </c>
      <c r="I1015" s="15">
        <v>40600</v>
      </c>
    </row>
    <row r="1016" spans="2:9" x14ac:dyDescent="0.3">
      <c r="B1016" s="14" t="s">
        <v>20</v>
      </c>
      <c r="C1016" s="15">
        <v>0</v>
      </c>
      <c r="D1016" s="15">
        <v>0</v>
      </c>
      <c r="E1016" s="15">
        <v>0</v>
      </c>
      <c r="F1016" s="15">
        <v>0</v>
      </c>
      <c r="G1016" s="15">
        <v>0</v>
      </c>
      <c r="H1016" s="15">
        <v>472395815</v>
      </c>
      <c r="I1016" s="15">
        <v>472589345</v>
      </c>
    </row>
    <row r="1017" spans="2:9" x14ac:dyDescent="0.3">
      <c r="B1017" s="14" t="s">
        <v>22</v>
      </c>
      <c r="C1017" s="15">
        <v>0</v>
      </c>
      <c r="D1017" s="15">
        <v>0</v>
      </c>
      <c r="E1017" s="15">
        <v>0</v>
      </c>
      <c r="F1017" s="15">
        <v>0</v>
      </c>
      <c r="G1017" s="15">
        <v>0</v>
      </c>
      <c r="H1017" s="15">
        <v>510000</v>
      </c>
      <c r="I1017" s="15">
        <v>550000</v>
      </c>
    </row>
    <row r="1018" spans="2:9" x14ac:dyDescent="0.3">
      <c r="B1018" s="14" t="s">
        <v>23</v>
      </c>
      <c r="C1018" s="15">
        <v>0</v>
      </c>
      <c r="D1018" s="15">
        <v>0</v>
      </c>
      <c r="E1018" s="15">
        <v>0</v>
      </c>
      <c r="F1018" s="15">
        <v>0</v>
      </c>
      <c r="G1018" s="15">
        <v>0</v>
      </c>
      <c r="H1018" s="15">
        <v>3500</v>
      </c>
      <c r="I1018" s="15">
        <v>3500</v>
      </c>
    </row>
    <row r="1019" spans="2:9" x14ac:dyDescent="0.3">
      <c r="B1019" s="14" t="s">
        <v>24</v>
      </c>
      <c r="C1019" s="15">
        <v>0</v>
      </c>
      <c r="D1019" s="15">
        <v>0</v>
      </c>
      <c r="E1019" s="15">
        <v>0</v>
      </c>
      <c r="F1019" s="15">
        <v>0</v>
      </c>
      <c r="G1019" s="15">
        <v>0</v>
      </c>
      <c r="H1019" s="15">
        <v>31400</v>
      </c>
      <c r="I1019" s="15">
        <v>41400</v>
      </c>
    </row>
    <row r="1020" spans="2:9" x14ac:dyDescent="0.3">
      <c r="B1020" s="14" t="s">
        <v>25</v>
      </c>
      <c r="C1020" s="15">
        <v>0</v>
      </c>
      <c r="D1020" s="15">
        <v>0</v>
      </c>
      <c r="E1020" s="15">
        <v>0</v>
      </c>
      <c r="F1020" s="15">
        <v>0</v>
      </c>
      <c r="G1020" s="15">
        <v>0</v>
      </c>
      <c r="H1020" s="15">
        <v>8500</v>
      </c>
      <c r="I1020" s="15">
        <v>22078</v>
      </c>
    </row>
    <row r="1021" spans="2:9" x14ac:dyDescent="0.3">
      <c r="B1021" s="14" t="s">
        <v>26</v>
      </c>
      <c r="C1021" s="15">
        <v>0</v>
      </c>
      <c r="D1021" s="15">
        <v>0</v>
      </c>
      <c r="E1021" s="15">
        <v>0</v>
      </c>
      <c r="F1021" s="15">
        <v>0</v>
      </c>
      <c r="G1021" s="15">
        <v>0</v>
      </c>
      <c r="H1021" s="15">
        <v>60000</v>
      </c>
      <c r="I1021" s="15">
        <v>60000</v>
      </c>
    </row>
    <row r="1022" spans="2:9" x14ac:dyDescent="0.3">
      <c r="B1022" s="14" t="s">
        <v>27</v>
      </c>
      <c r="C1022" s="15">
        <v>0</v>
      </c>
      <c r="D1022" s="15">
        <v>0</v>
      </c>
      <c r="E1022" s="15">
        <v>0</v>
      </c>
      <c r="F1022" s="15">
        <v>0</v>
      </c>
      <c r="G1022" s="15">
        <v>0</v>
      </c>
      <c r="H1022" s="15">
        <v>171100</v>
      </c>
      <c r="I1022" s="15">
        <v>186100</v>
      </c>
    </row>
    <row r="1023" spans="2:9" x14ac:dyDescent="0.3">
      <c r="B1023" s="14" t="s">
        <v>28</v>
      </c>
      <c r="C1023" s="15">
        <v>0</v>
      </c>
      <c r="D1023" s="15">
        <v>0</v>
      </c>
      <c r="E1023" s="15">
        <v>0</v>
      </c>
      <c r="F1023" s="15">
        <v>0</v>
      </c>
      <c r="G1023" s="15">
        <v>0</v>
      </c>
      <c r="H1023" s="15">
        <v>80603</v>
      </c>
      <c r="I1023" s="15">
        <v>86603</v>
      </c>
    </row>
    <row r="1024" spans="2:9" ht="15.6" x14ac:dyDescent="0.3">
      <c r="B1024" s="16" t="s">
        <v>29</v>
      </c>
      <c r="C1024" s="16"/>
      <c r="D1024" s="17">
        <f>SUM(D1007:D1023)</f>
        <v>0</v>
      </c>
      <c r="E1024" s="18"/>
      <c r="F1024" s="17">
        <f>SUM(F1007:F1023)</f>
        <v>0</v>
      </c>
      <c r="G1024" s="17">
        <f>SUM(G1007:G1023)</f>
        <v>0</v>
      </c>
      <c r="H1024" s="19"/>
      <c r="I1024" s="19"/>
    </row>
    <row r="1026" spans="2:9" ht="15.6" x14ac:dyDescent="0.3">
      <c r="B1026" s="13" t="s">
        <v>96</v>
      </c>
      <c r="C1026" s="13"/>
      <c r="D1026" s="13"/>
    </row>
    <row r="1027" spans="2:9" x14ac:dyDescent="0.3">
      <c r="B1027" s="14" t="s">
        <v>12</v>
      </c>
      <c r="C1027" s="15">
        <v>950</v>
      </c>
      <c r="D1027" s="15">
        <v>222010</v>
      </c>
      <c r="E1027" s="15">
        <v>5</v>
      </c>
      <c r="F1027" s="15">
        <v>1221</v>
      </c>
      <c r="G1027" s="15">
        <v>0</v>
      </c>
      <c r="H1027" s="15">
        <v>0</v>
      </c>
      <c r="I1027" s="15">
        <v>0</v>
      </c>
    </row>
    <row r="1028" spans="2:9" x14ac:dyDescent="0.3">
      <c r="B1028" s="14" t="s">
        <v>14</v>
      </c>
      <c r="C1028" s="15">
        <v>20</v>
      </c>
      <c r="D1028" s="15">
        <v>3825</v>
      </c>
      <c r="E1028" s="15">
        <v>2</v>
      </c>
      <c r="F1028" s="15">
        <v>424</v>
      </c>
      <c r="G1028" s="15">
        <v>0</v>
      </c>
      <c r="H1028" s="15">
        <v>0</v>
      </c>
      <c r="I1028" s="15">
        <v>0</v>
      </c>
    </row>
    <row r="1029" spans="2:9" x14ac:dyDescent="0.3">
      <c r="B1029" s="14" t="s">
        <v>15</v>
      </c>
      <c r="C1029" s="15">
        <v>550</v>
      </c>
      <c r="D1029" s="15">
        <v>140210</v>
      </c>
      <c r="E1029" s="15">
        <v>5</v>
      </c>
      <c r="F1029" s="15">
        <v>1334</v>
      </c>
      <c r="G1029" s="15">
        <v>0</v>
      </c>
      <c r="H1029" s="15">
        <v>500</v>
      </c>
      <c r="I1029" s="15">
        <v>0</v>
      </c>
    </row>
    <row r="1030" spans="2:9" x14ac:dyDescent="0.3">
      <c r="B1030" s="14" t="s">
        <v>16</v>
      </c>
      <c r="C1030" s="15">
        <v>15810</v>
      </c>
      <c r="D1030" s="15">
        <v>6551766</v>
      </c>
      <c r="E1030" s="15">
        <v>17010</v>
      </c>
      <c r="F1030" s="15">
        <v>852881</v>
      </c>
      <c r="G1030" s="15">
        <v>6312365</v>
      </c>
      <c r="H1030" s="15">
        <v>19000</v>
      </c>
      <c r="I1030" s="15">
        <v>21000</v>
      </c>
    </row>
    <row r="1031" spans="2:9" x14ac:dyDescent="0.3">
      <c r="B1031" s="14" t="s">
        <v>17</v>
      </c>
      <c r="C1031" s="15">
        <v>6000</v>
      </c>
      <c r="D1031" s="15">
        <v>89400</v>
      </c>
      <c r="E1031" s="15">
        <v>27100</v>
      </c>
      <c r="F1031" s="15">
        <v>167230</v>
      </c>
      <c r="G1031" s="15">
        <v>280530</v>
      </c>
      <c r="H1031" s="15">
        <v>0</v>
      </c>
      <c r="I1031" s="15">
        <v>20000</v>
      </c>
    </row>
    <row r="1032" spans="2:9" x14ac:dyDescent="0.3">
      <c r="B1032" s="14" t="s">
        <v>18</v>
      </c>
      <c r="C1032" s="15">
        <v>189454</v>
      </c>
      <c r="D1032" s="15">
        <v>73848423</v>
      </c>
      <c r="E1032" s="15">
        <v>130737</v>
      </c>
      <c r="F1032" s="15">
        <v>36332971</v>
      </c>
      <c r="G1032" s="15">
        <v>15496143</v>
      </c>
      <c r="H1032" s="15">
        <v>82000</v>
      </c>
      <c r="I1032" s="15">
        <v>27500</v>
      </c>
    </row>
    <row r="1033" spans="2:9" x14ac:dyDescent="0.3">
      <c r="B1033" s="14" t="s">
        <v>19</v>
      </c>
      <c r="C1033" s="15">
        <v>2010</v>
      </c>
      <c r="D1033" s="15">
        <v>927065</v>
      </c>
      <c r="E1033" s="15">
        <v>2210</v>
      </c>
      <c r="F1033" s="15">
        <v>784937</v>
      </c>
      <c r="G1033" s="15">
        <v>260780</v>
      </c>
      <c r="H1033" s="15">
        <v>1000</v>
      </c>
      <c r="I1033" s="15">
        <v>800</v>
      </c>
    </row>
    <row r="1034" spans="2:9" x14ac:dyDescent="0.3">
      <c r="B1034" s="14" t="s">
        <v>20</v>
      </c>
      <c r="C1034" s="15">
        <v>0</v>
      </c>
      <c r="D1034" s="15">
        <v>0</v>
      </c>
      <c r="E1034" s="15">
        <v>0</v>
      </c>
      <c r="F1034" s="15">
        <v>0</v>
      </c>
      <c r="G1034" s="15">
        <v>0</v>
      </c>
      <c r="H1034" s="15">
        <v>9000000</v>
      </c>
      <c r="I1034" s="15">
        <v>52115250</v>
      </c>
    </row>
    <row r="1035" spans="2:9" x14ac:dyDescent="0.3">
      <c r="B1035" s="14" t="s">
        <v>21</v>
      </c>
      <c r="C1035" s="15">
        <v>520</v>
      </c>
      <c r="D1035" s="15">
        <v>45760</v>
      </c>
      <c r="E1035" s="15">
        <v>0</v>
      </c>
      <c r="F1035" s="15">
        <v>0</v>
      </c>
      <c r="G1035" s="15">
        <v>0</v>
      </c>
      <c r="H1035" s="15">
        <v>0</v>
      </c>
      <c r="I1035" s="15">
        <v>0</v>
      </c>
    </row>
    <row r="1036" spans="2:9" x14ac:dyDescent="0.3">
      <c r="B1036" s="14" t="s">
        <v>22</v>
      </c>
      <c r="C1036" s="15">
        <v>0</v>
      </c>
      <c r="D1036" s="15">
        <v>0</v>
      </c>
      <c r="E1036" s="15">
        <v>0</v>
      </c>
      <c r="F1036" s="15">
        <v>0</v>
      </c>
      <c r="G1036" s="15">
        <v>0</v>
      </c>
      <c r="H1036" s="15">
        <v>100000</v>
      </c>
      <c r="I1036" s="15">
        <v>60000</v>
      </c>
    </row>
    <row r="1037" spans="2:9" x14ac:dyDescent="0.3">
      <c r="B1037" s="14" t="s">
        <v>24</v>
      </c>
      <c r="C1037" s="15">
        <v>1790</v>
      </c>
      <c r="D1037" s="15">
        <v>156525</v>
      </c>
      <c r="E1037" s="15">
        <v>6020</v>
      </c>
      <c r="F1037" s="15">
        <v>524200</v>
      </c>
      <c r="G1037" s="15">
        <v>57773</v>
      </c>
      <c r="H1037" s="15">
        <v>0</v>
      </c>
      <c r="I1037" s="15">
        <v>6000</v>
      </c>
    </row>
    <row r="1038" spans="2:9" x14ac:dyDescent="0.3">
      <c r="B1038" s="14" t="s">
        <v>25</v>
      </c>
      <c r="C1038" s="15">
        <v>3114</v>
      </c>
      <c r="D1038" s="15">
        <v>233047</v>
      </c>
      <c r="E1038" s="15">
        <v>9840</v>
      </c>
      <c r="F1038" s="15">
        <v>320315</v>
      </c>
      <c r="G1038" s="15">
        <v>496910</v>
      </c>
      <c r="H1038" s="15">
        <v>0</v>
      </c>
      <c r="I1038" s="15">
        <v>0</v>
      </c>
    </row>
    <row r="1039" spans="2:9" x14ac:dyDescent="0.3">
      <c r="B1039" s="14" t="s">
        <v>26</v>
      </c>
      <c r="C1039" s="15">
        <v>37690</v>
      </c>
      <c r="D1039" s="15">
        <v>113070</v>
      </c>
      <c r="E1039" s="15">
        <v>63320</v>
      </c>
      <c r="F1039" s="15">
        <v>131661</v>
      </c>
      <c r="G1039" s="15">
        <v>117280</v>
      </c>
      <c r="H1039" s="15">
        <v>0</v>
      </c>
      <c r="I1039" s="15">
        <v>20000</v>
      </c>
    </row>
    <row r="1040" spans="2:9" x14ac:dyDescent="0.3">
      <c r="B1040" s="14" t="s">
        <v>27</v>
      </c>
      <c r="C1040" s="15">
        <v>1295</v>
      </c>
      <c r="D1040" s="15">
        <v>12690</v>
      </c>
      <c r="E1040" s="15">
        <v>23130</v>
      </c>
      <c r="F1040" s="15">
        <v>320436</v>
      </c>
      <c r="G1040" s="15">
        <v>29920</v>
      </c>
      <c r="H1040" s="15">
        <v>0</v>
      </c>
      <c r="I1040" s="15">
        <v>25000</v>
      </c>
    </row>
    <row r="1041" spans="2:9" x14ac:dyDescent="0.3">
      <c r="B1041" s="14" t="s">
        <v>28</v>
      </c>
      <c r="C1041" s="15">
        <v>18029</v>
      </c>
      <c r="D1041" s="15">
        <v>6333879</v>
      </c>
      <c r="E1041" s="15">
        <v>29965</v>
      </c>
      <c r="F1041" s="15">
        <v>5296255</v>
      </c>
      <c r="G1041" s="15">
        <v>5394584</v>
      </c>
      <c r="H1041" s="15">
        <v>7000</v>
      </c>
      <c r="I1041" s="15">
        <v>17000</v>
      </c>
    </row>
    <row r="1042" spans="2:9" ht="15.6" x14ac:dyDescent="0.3">
      <c r="B1042" s="16" t="s">
        <v>29</v>
      </c>
      <c r="C1042" s="16"/>
      <c r="D1042" s="17">
        <f>SUM(D1027:D1041)</f>
        <v>88677670</v>
      </c>
      <c r="E1042" s="18"/>
      <c r="F1042" s="17">
        <f>SUM(F1027:F1041)</f>
        <v>44733865</v>
      </c>
      <c r="G1042" s="17">
        <f>SUM(G1027:G1041)</f>
        <v>28446285</v>
      </c>
      <c r="H1042" s="19"/>
      <c r="I1042" s="19"/>
    </row>
    <row r="1044" spans="2:9" ht="15.6" x14ac:dyDescent="0.3">
      <c r="B1044" s="13" t="s">
        <v>97</v>
      </c>
      <c r="C1044" s="13"/>
      <c r="D1044" s="13"/>
    </row>
    <row r="1045" spans="2:9" x14ac:dyDescent="0.3">
      <c r="B1045" s="14" t="s">
        <v>12</v>
      </c>
      <c r="C1045" s="15">
        <v>1870</v>
      </c>
      <c r="D1045" s="15">
        <v>426646</v>
      </c>
      <c r="E1045" s="15">
        <v>1900</v>
      </c>
      <c r="F1045" s="15">
        <v>146730</v>
      </c>
      <c r="G1045" s="15">
        <v>325505</v>
      </c>
      <c r="H1045" s="15">
        <v>1500</v>
      </c>
      <c r="I1045" s="15">
        <v>2000</v>
      </c>
    </row>
    <row r="1046" spans="2:9" x14ac:dyDescent="0.3">
      <c r="B1046" s="14" t="s">
        <v>13</v>
      </c>
      <c r="C1046" s="15">
        <v>250</v>
      </c>
      <c r="D1046" s="15">
        <v>47500</v>
      </c>
      <c r="E1046" s="15">
        <v>20</v>
      </c>
      <c r="F1046" s="15">
        <v>4447</v>
      </c>
      <c r="G1046" s="15">
        <v>0</v>
      </c>
      <c r="H1046" s="15">
        <v>270</v>
      </c>
      <c r="I1046" s="15">
        <v>0</v>
      </c>
    </row>
    <row r="1047" spans="2:9" x14ac:dyDescent="0.3">
      <c r="B1047" s="14" t="s">
        <v>14</v>
      </c>
      <c r="C1047" s="15">
        <v>755</v>
      </c>
      <c r="D1047" s="15">
        <v>145035</v>
      </c>
      <c r="E1047" s="15">
        <v>2675</v>
      </c>
      <c r="F1047" s="15">
        <v>533295</v>
      </c>
      <c r="G1047" s="15">
        <v>38660</v>
      </c>
      <c r="H1047" s="15">
        <v>0</v>
      </c>
      <c r="I1047" s="15">
        <v>3000</v>
      </c>
    </row>
    <row r="1048" spans="2:9" x14ac:dyDescent="0.3">
      <c r="B1048" s="14" t="s">
        <v>15</v>
      </c>
      <c r="C1048" s="15">
        <v>1745</v>
      </c>
      <c r="D1048" s="15">
        <v>434151</v>
      </c>
      <c r="E1048" s="15">
        <v>0</v>
      </c>
      <c r="F1048" s="15">
        <v>0</v>
      </c>
      <c r="G1048" s="15">
        <v>0</v>
      </c>
      <c r="H1048" s="15">
        <v>2700</v>
      </c>
      <c r="I1048" s="15">
        <v>0</v>
      </c>
    </row>
    <row r="1049" spans="2:9" x14ac:dyDescent="0.3">
      <c r="B1049" s="14" t="s">
        <v>16</v>
      </c>
      <c r="C1049" s="15">
        <v>32330</v>
      </c>
      <c r="D1049" s="15">
        <v>13364673</v>
      </c>
      <c r="E1049" s="15">
        <v>2430</v>
      </c>
      <c r="F1049" s="15">
        <v>993102</v>
      </c>
      <c r="G1049" s="15">
        <v>42630</v>
      </c>
      <c r="H1049" s="15">
        <v>29000</v>
      </c>
      <c r="I1049" s="15">
        <v>0</v>
      </c>
    </row>
    <row r="1050" spans="2:9" x14ac:dyDescent="0.3">
      <c r="B1050" s="14" t="s">
        <v>32</v>
      </c>
      <c r="C1050" s="15">
        <v>945</v>
      </c>
      <c r="D1050" s="15">
        <v>43530</v>
      </c>
      <c r="E1050" s="15">
        <v>4809</v>
      </c>
      <c r="F1050" s="15">
        <v>211105</v>
      </c>
      <c r="G1050" s="15">
        <v>78208</v>
      </c>
      <c r="H1050" s="15">
        <v>0</v>
      </c>
      <c r="I1050" s="15">
        <v>2000</v>
      </c>
    </row>
    <row r="1051" spans="2:9" x14ac:dyDescent="0.3">
      <c r="B1051" s="14" t="s">
        <v>17</v>
      </c>
      <c r="C1051" s="15">
        <v>8700</v>
      </c>
      <c r="D1051" s="15">
        <v>128762</v>
      </c>
      <c r="E1051" s="15">
        <v>58400</v>
      </c>
      <c r="F1051" s="15">
        <v>826080</v>
      </c>
      <c r="G1051" s="15">
        <v>142680</v>
      </c>
      <c r="H1051" s="15">
        <v>0</v>
      </c>
      <c r="I1051" s="15">
        <v>49600</v>
      </c>
    </row>
    <row r="1052" spans="2:9" x14ac:dyDescent="0.3">
      <c r="B1052" s="14" t="s">
        <v>18</v>
      </c>
      <c r="C1052" s="15">
        <v>472620</v>
      </c>
      <c r="D1052" s="15">
        <v>183770682</v>
      </c>
      <c r="E1052" s="15">
        <v>183913</v>
      </c>
      <c r="F1052" s="15">
        <v>51612238</v>
      </c>
      <c r="G1052" s="15">
        <v>21827437</v>
      </c>
      <c r="H1052" s="15">
        <v>292300</v>
      </c>
      <c r="I1052" s="15">
        <v>8000</v>
      </c>
    </row>
    <row r="1053" spans="2:9" x14ac:dyDescent="0.3">
      <c r="B1053" s="14" t="s">
        <v>19</v>
      </c>
      <c r="C1053" s="15">
        <v>19570</v>
      </c>
      <c r="D1053" s="15">
        <v>9066595</v>
      </c>
      <c r="E1053" s="15">
        <v>6595</v>
      </c>
      <c r="F1053" s="15">
        <v>2749395</v>
      </c>
      <c r="G1053" s="15">
        <v>383545</v>
      </c>
      <c r="H1053" s="15">
        <v>15500</v>
      </c>
      <c r="I1053" s="15">
        <v>1200</v>
      </c>
    </row>
    <row r="1054" spans="2:9" x14ac:dyDescent="0.3">
      <c r="B1054" s="14" t="s">
        <v>20</v>
      </c>
      <c r="C1054" s="15">
        <v>0</v>
      </c>
      <c r="D1054" s="15">
        <v>0</v>
      </c>
      <c r="E1054" s="15">
        <v>0</v>
      </c>
      <c r="F1054" s="15">
        <v>0</v>
      </c>
      <c r="G1054" s="15">
        <v>0</v>
      </c>
      <c r="H1054" s="15">
        <v>2000000</v>
      </c>
      <c r="I1054" s="15">
        <v>177165000</v>
      </c>
    </row>
    <row r="1055" spans="2:9" x14ac:dyDescent="0.3">
      <c r="B1055" s="14" t="s">
        <v>21</v>
      </c>
      <c r="C1055" s="15">
        <v>1000</v>
      </c>
      <c r="D1055" s="15">
        <v>88000</v>
      </c>
      <c r="E1055" s="15">
        <v>0</v>
      </c>
      <c r="F1055" s="15">
        <v>0</v>
      </c>
      <c r="G1055" s="15">
        <v>0</v>
      </c>
      <c r="H1055" s="15">
        <v>0</v>
      </c>
      <c r="I1055" s="15">
        <v>0</v>
      </c>
    </row>
    <row r="1056" spans="2:9" x14ac:dyDescent="0.3">
      <c r="B1056" s="14" t="s">
        <v>22</v>
      </c>
      <c r="C1056" s="15">
        <v>380000</v>
      </c>
      <c r="D1056" s="15">
        <v>871940</v>
      </c>
      <c r="E1056" s="15">
        <v>22000</v>
      </c>
      <c r="F1056" s="15">
        <v>57380</v>
      </c>
      <c r="G1056" s="15">
        <v>0</v>
      </c>
      <c r="H1056" s="15">
        <v>450000</v>
      </c>
      <c r="I1056" s="15">
        <v>0</v>
      </c>
    </row>
    <row r="1057" spans="2:9" x14ac:dyDescent="0.3">
      <c r="B1057" s="14" t="s">
        <v>40</v>
      </c>
      <c r="C1057" s="15">
        <v>500</v>
      </c>
      <c r="D1057" s="15">
        <v>8000</v>
      </c>
      <c r="E1057" s="15">
        <v>0</v>
      </c>
      <c r="F1057" s="15">
        <v>0</v>
      </c>
      <c r="G1057" s="15">
        <v>0</v>
      </c>
      <c r="H1057" s="15">
        <v>0</v>
      </c>
      <c r="I1057" s="15">
        <v>0</v>
      </c>
    </row>
    <row r="1058" spans="2:9" x14ac:dyDescent="0.3">
      <c r="B1058" s="14" t="s">
        <v>23</v>
      </c>
      <c r="C1058" s="15">
        <v>105</v>
      </c>
      <c r="D1058" s="15">
        <v>22050</v>
      </c>
      <c r="E1058" s="15">
        <v>3500</v>
      </c>
      <c r="F1058" s="15">
        <v>0</v>
      </c>
      <c r="G1058" s="15">
        <v>807450</v>
      </c>
      <c r="H1058" s="15">
        <v>0</v>
      </c>
      <c r="I1058" s="15">
        <v>3500</v>
      </c>
    </row>
    <row r="1059" spans="2:9" x14ac:dyDescent="0.3">
      <c r="B1059" s="14" t="s">
        <v>24</v>
      </c>
      <c r="C1059" s="15">
        <v>2170</v>
      </c>
      <c r="D1059" s="15">
        <v>193741</v>
      </c>
      <c r="E1059" s="15">
        <v>9440</v>
      </c>
      <c r="F1059" s="15">
        <v>581360</v>
      </c>
      <c r="G1059" s="15">
        <v>315635</v>
      </c>
      <c r="H1059" s="15">
        <v>100</v>
      </c>
      <c r="I1059" s="15">
        <v>6400</v>
      </c>
    </row>
    <row r="1060" spans="2:9" x14ac:dyDescent="0.3">
      <c r="B1060" s="14" t="s">
        <v>25</v>
      </c>
      <c r="C1060" s="15">
        <v>40703</v>
      </c>
      <c r="D1060" s="15">
        <v>3124830</v>
      </c>
      <c r="E1060" s="15">
        <v>35241</v>
      </c>
      <c r="F1060" s="15">
        <v>2075813</v>
      </c>
      <c r="G1060" s="15">
        <v>810365</v>
      </c>
      <c r="H1060" s="15">
        <v>20000</v>
      </c>
      <c r="I1060" s="15">
        <v>8600</v>
      </c>
    </row>
    <row r="1061" spans="2:9" x14ac:dyDescent="0.3">
      <c r="B1061" s="14" t="s">
        <v>26</v>
      </c>
      <c r="C1061" s="15">
        <v>36170</v>
      </c>
      <c r="D1061" s="15">
        <v>108510</v>
      </c>
      <c r="E1061" s="15">
        <v>64800</v>
      </c>
      <c r="F1061" s="15">
        <v>178295</v>
      </c>
      <c r="G1061" s="15">
        <v>72815</v>
      </c>
      <c r="H1061" s="15">
        <v>0</v>
      </c>
      <c r="I1061" s="15">
        <v>0</v>
      </c>
    </row>
    <row r="1062" spans="2:9" x14ac:dyDescent="0.3">
      <c r="B1062" s="14" t="s">
        <v>33</v>
      </c>
      <c r="C1062" s="15">
        <v>5000</v>
      </c>
      <c r="D1062" s="15">
        <v>17250</v>
      </c>
      <c r="E1062" s="15">
        <v>30000</v>
      </c>
      <c r="F1062" s="15">
        <v>48000</v>
      </c>
      <c r="G1062" s="15">
        <v>96000</v>
      </c>
      <c r="H1062" s="15">
        <v>0</v>
      </c>
      <c r="I1062" s="15">
        <v>0</v>
      </c>
    </row>
    <row r="1063" spans="2:9" x14ac:dyDescent="0.3">
      <c r="B1063" s="14" t="s">
        <v>38</v>
      </c>
      <c r="C1063" s="15">
        <v>140</v>
      </c>
      <c r="D1063" s="15">
        <v>980</v>
      </c>
      <c r="E1063" s="15">
        <v>3000</v>
      </c>
      <c r="F1063" s="15">
        <v>35430</v>
      </c>
      <c r="G1063" s="15">
        <v>0</v>
      </c>
      <c r="H1063" s="15">
        <v>0</v>
      </c>
      <c r="I1063" s="15">
        <v>0</v>
      </c>
    </row>
    <row r="1064" spans="2:9" x14ac:dyDescent="0.3">
      <c r="B1064" s="14" t="s">
        <v>27</v>
      </c>
      <c r="C1064" s="15">
        <v>18960</v>
      </c>
      <c r="D1064" s="15">
        <v>185804</v>
      </c>
      <c r="E1064" s="15">
        <v>67880</v>
      </c>
      <c r="F1064" s="15">
        <v>426235</v>
      </c>
      <c r="G1064" s="15">
        <v>440443</v>
      </c>
      <c r="H1064" s="15">
        <v>0</v>
      </c>
      <c r="I1064" s="15">
        <v>65000</v>
      </c>
    </row>
    <row r="1065" spans="2:9" x14ac:dyDescent="0.3">
      <c r="B1065" s="14" t="s">
        <v>28</v>
      </c>
      <c r="C1065" s="15">
        <v>66570</v>
      </c>
      <c r="D1065" s="15">
        <v>23255576</v>
      </c>
      <c r="E1065" s="15">
        <v>19324</v>
      </c>
      <c r="F1065" s="15">
        <v>4396510</v>
      </c>
      <c r="G1065" s="15">
        <v>2573312</v>
      </c>
      <c r="H1065" s="15">
        <v>51000</v>
      </c>
      <c r="I1065" s="15">
        <v>3500</v>
      </c>
    </row>
    <row r="1066" spans="2:9" ht="15.6" x14ac:dyDescent="0.3">
      <c r="B1066" s="16" t="s">
        <v>29</v>
      </c>
      <c r="C1066" s="16"/>
      <c r="D1066" s="17">
        <f>SUM(D1045:D1065)</f>
        <v>235304255</v>
      </c>
      <c r="E1066" s="18"/>
      <c r="F1066" s="17">
        <f>SUM(F1045:F1065)</f>
        <v>64875415</v>
      </c>
      <c r="G1066" s="17">
        <f>SUM(G1045:G1065)</f>
        <v>27954685</v>
      </c>
      <c r="H1066" s="19"/>
      <c r="I1066" s="19"/>
    </row>
    <row r="1068" spans="2:9" ht="15.6" x14ac:dyDescent="0.3">
      <c r="B1068" s="13" t="s">
        <v>98</v>
      </c>
      <c r="C1068" s="13"/>
      <c r="D1068" s="13"/>
    </row>
    <row r="1069" spans="2:9" x14ac:dyDescent="0.3">
      <c r="B1069" s="14" t="s">
        <v>14</v>
      </c>
      <c r="C1069" s="15">
        <v>0</v>
      </c>
      <c r="D1069" s="15">
        <v>0</v>
      </c>
      <c r="E1069" s="15">
        <v>0</v>
      </c>
      <c r="F1069" s="15">
        <v>0</v>
      </c>
      <c r="G1069" s="15">
        <v>0</v>
      </c>
      <c r="H1069" s="15">
        <v>1300</v>
      </c>
      <c r="I1069" s="15">
        <v>0</v>
      </c>
    </row>
    <row r="1070" spans="2:9" x14ac:dyDescent="0.3">
      <c r="B1070" s="14" t="s">
        <v>16</v>
      </c>
      <c r="C1070" s="15">
        <v>0</v>
      </c>
      <c r="D1070" s="15">
        <v>0</v>
      </c>
      <c r="E1070" s="15">
        <v>0</v>
      </c>
      <c r="F1070" s="15">
        <v>0</v>
      </c>
      <c r="G1070" s="15">
        <v>0</v>
      </c>
      <c r="H1070" s="15">
        <v>1980</v>
      </c>
      <c r="I1070" s="15">
        <v>0</v>
      </c>
    </row>
    <row r="1071" spans="2:9" x14ac:dyDescent="0.3">
      <c r="B1071" s="14" t="s">
        <v>17</v>
      </c>
      <c r="C1071" s="15">
        <v>0</v>
      </c>
      <c r="D1071" s="15">
        <v>0</v>
      </c>
      <c r="E1071" s="15">
        <v>0</v>
      </c>
      <c r="F1071" s="15">
        <v>0</v>
      </c>
      <c r="G1071" s="15">
        <v>0</v>
      </c>
      <c r="H1071" s="15">
        <v>14600</v>
      </c>
      <c r="I1071" s="15">
        <v>0</v>
      </c>
    </row>
    <row r="1072" spans="2:9" x14ac:dyDescent="0.3">
      <c r="B1072" s="14" t="s">
        <v>18</v>
      </c>
      <c r="C1072" s="15">
        <v>0</v>
      </c>
      <c r="D1072" s="15">
        <v>0</v>
      </c>
      <c r="E1072" s="15">
        <v>0</v>
      </c>
      <c r="F1072" s="15">
        <v>0</v>
      </c>
      <c r="G1072" s="15">
        <v>0</v>
      </c>
      <c r="H1072" s="15">
        <v>1500</v>
      </c>
      <c r="I1072" s="15">
        <v>0</v>
      </c>
    </row>
    <row r="1073" spans="2:9" x14ac:dyDescent="0.3">
      <c r="B1073" s="14" t="s">
        <v>19</v>
      </c>
      <c r="C1073" s="15">
        <v>0</v>
      </c>
      <c r="D1073" s="15">
        <v>0</v>
      </c>
      <c r="E1073" s="15">
        <v>0</v>
      </c>
      <c r="F1073" s="15">
        <v>0</v>
      </c>
      <c r="G1073" s="15">
        <v>0</v>
      </c>
      <c r="H1073" s="15">
        <v>600</v>
      </c>
      <c r="I1073" s="15">
        <v>0</v>
      </c>
    </row>
    <row r="1074" spans="2:9" x14ac:dyDescent="0.3">
      <c r="B1074" s="14" t="s">
        <v>20</v>
      </c>
      <c r="C1074" s="15">
        <v>0</v>
      </c>
      <c r="D1074" s="15">
        <v>0</v>
      </c>
      <c r="E1074" s="15">
        <v>0</v>
      </c>
      <c r="F1074" s="15">
        <v>0</v>
      </c>
      <c r="G1074" s="15">
        <v>0</v>
      </c>
      <c r="H1074" s="15">
        <v>6214195</v>
      </c>
      <c r="I1074" s="15">
        <v>0</v>
      </c>
    </row>
    <row r="1075" spans="2:9" x14ac:dyDescent="0.3">
      <c r="B1075" s="14" t="s">
        <v>24</v>
      </c>
      <c r="C1075" s="15">
        <v>0</v>
      </c>
      <c r="D1075" s="15">
        <v>0</v>
      </c>
      <c r="E1075" s="15">
        <v>0</v>
      </c>
      <c r="F1075" s="15">
        <v>0</v>
      </c>
      <c r="G1075" s="15">
        <v>0</v>
      </c>
      <c r="H1075" s="15">
        <v>1400</v>
      </c>
      <c r="I1075" s="15">
        <v>0</v>
      </c>
    </row>
    <row r="1076" spans="2:9" x14ac:dyDescent="0.3">
      <c r="B1076" s="14" t="s">
        <v>25</v>
      </c>
      <c r="C1076" s="15">
        <v>0</v>
      </c>
      <c r="D1076" s="15">
        <v>0</v>
      </c>
      <c r="E1076" s="15">
        <v>0</v>
      </c>
      <c r="F1076" s="15">
        <v>0</v>
      </c>
      <c r="G1076" s="15">
        <v>0</v>
      </c>
      <c r="H1076" s="15">
        <v>2078</v>
      </c>
      <c r="I1076" s="15">
        <v>0</v>
      </c>
    </row>
    <row r="1077" spans="2:9" x14ac:dyDescent="0.3">
      <c r="B1077" s="14" t="s">
        <v>27</v>
      </c>
      <c r="C1077" s="15">
        <v>0</v>
      </c>
      <c r="D1077" s="15">
        <v>0</v>
      </c>
      <c r="E1077" s="15">
        <v>0</v>
      </c>
      <c r="F1077" s="15">
        <v>0</v>
      </c>
      <c r="G1077" s="15">
        <v>0</v>
      </c>
      <c r="H1077" s="15">
        <v>6100</v>
      </c>
      <c r="I1077" s="15">
        <v>0</v>
      </c>
    </row>
    <row r="1078" spans="2:9" x14ac:dyDescent="0.3">
      <c r="B1078" s="14" t="s">
        <v>28</v>
      </c>
      <c r="C1078" s="15">
        <v>0</v>
      </c>
      <c r="D1078" s="15">
        <v>0</v>
      </c>
      <c r="E1078" s="15">
        <v>0</v>
      </c>
      <c r="F1078" s="15">
        <v>0</v>
      </c>
      <c r="G1078" s="15">
        <v>0</v>
      </c>
      <c r="H1078" s="15">
        <v>103</v>
      </c>
      <c r="I1078" s="15">
        <v>0</v>
      </c>
    </row>
    <row r="1079" spans="2:9" ht="15.6" x14ac:dyDescent="0.3">
      <c r="B1079" s="16" t="s">
        <v>29</v>
      </c>
      <c r="C1079" s="16"/>
      <c r="D1079" s="17">
        <f>SUM(D1069:D1078)</f>
        <v>0</v>
      </c>
      <c r="E1079" s="18"/>
      <c r="F1079" s="17">
        <f>SUM(F1069:F1078)</f>
        <v>0</v>
      </c>
      <c r="G1079" s="17">
        <f>SUM(G1069:G1078)</f>
        <v>0</v>
      </c>
      <c r="H1079" s="19"/>
      <c r="I1079" s="19"/>
    </row>
    <row r="1081" spans="2:9" ht="15.6" x14ac:dyDescent="0.3">
      <c r="B1081" s="13" t="s">
        <v>99</v>
      </c>
      <c r="C1081" s="13"/>
      <c r="D1081" s="13"/>
    </row>
    <row r="1082" spans="2:9" x14ac:dyDescent="0.3">
      <c r="B1082" s="14" t="s">
        <v>14</v>
      </c>
      <c r="C1082" s="15">
        <v>530</v>
      </c>
      <c r="D1082" s="15">
        <v>101455</v>
      </c>
      <c r="E1082" s="15">
        <v>1000</v>
      </c>
      <c r="F1082" s="15">
        <v>213990</v>
      </c>
      <c r="G1082" s="15">
        <v>0</v>
      </c>
      <c r="H1082" s="15">
        <v>0</v>
      </c>
      <c r="I1082" s="15">
        <v>0</v>
      </c>
    </row>
    <row r="1083" spans="2:9" x14ac:dyDescent="0.3">
      <c r="B1083" s="14" t="s">
        <v>15</v>
      </c>
      <c r="C1083" s="15">
        <v>1845</v>
      </c>
      <c r="D1083" s="15">
        <v>461565</v>
      </c>
      <c r="E1083" s="15">
        <v>0</v>
      </c>
      <c r="F1083" s="15">
        <v>0</v>
      </c>
      <c r="G1083" s="15">
        <v>0</v>
      </c>
      <c r="H1083" s="15">
        <v>1800</v>
      </c>
      <c r="I1083" s="15">
        <v>0</v>
      </c>
    </row>
    <row r="1084" spans="2:9" x14ac:dyDescent="0.3">
      <c r="B1084" s="14" t="s">
        <v>16</v>
      </c>
      <c r="C1084" s="15">
        <v>5450</v>
      </c>
      <c r="D1084" s="15">
        <v>2215875</v>
      </c>
      <c r="E1084" s="15">
        <v>620</v>
      </c>
      <c r="F1084" s="15">
        <v>202075</v>
      </c>
      <c r="G1084" s="15">
        <v>64050</v>
      </c>
      <c r="H1084" s="15">
        <v>6000</v>
      </c>
      <c r="I1084" s="15">
        <v>0</v>
      </c>
    </row>
    <row r="1085" spans="2:9" x14ac:dyDescent="0.3">
      <c r="B1085" s="14" t="s">
        <v>17</v>
      </c>
      <c r="C1085" s="15">
        <v>1200</v>
      </c>
      <c r="D1085" s="15">
        <v>16950</v>
      </c>
      <c r="E1085" s="15">
        <v>4900</v>
      </c>
      <c r="F1085" s="15">
        <v>85355</v>
      </c>
      <c r="G1085" s="15">
        <v>0</v>
      </c>
      <c r="H1085" s="15">
        <v>0</v>
      </c>
      <c r="I1085" s="15">
        <v>0</v>
      </c>
    </row>
    <row r="1086" spans="2:9" x14ac:dyDescent="0.3">
      <c r="B1086" s="14" t="s">
        <v>18</v>
      </c>
      <c r="C1086" s="15">
        <v>141467</v>
      </c>
      <c r="D1086" s="15">
        <v>54429920</v>
      </c>
      <c r="E1086" s="15">
        <v>52278</v>
      </c>
      <c r="F1086" s="15">
        <v>18485842</v>
      </c>
      <c r="G1086" s="15">
        <v>2387325</v>
      </c>
      <c r="H1086" s="15">
        <v>90500</v>
      </c>
      <c r="I1086" s="15">
        <v>0</v>
      </c>
    </row>
    <row r="1087" spans="2:9" x14ac:dyDescent="0.3">
      <c r="B1087" s="14" t="s">
        <v>19</v>
      </c>
      <c r="C1087" s="15">
        <v>10975</v>
      </c>
      <c r="D1087" s="15">
        <v>5019930</v>
      </c>
      <c r="E1087" s="15">
        <v>595</v>
      </c>
      <c r="F1087" s="15">
        <v>236710</v>
      </c>
      <c r="G1087" s="15">
        <v>48600</v>
      </c>
      <c r="H1087" s="15">
        <v>10000</v>
      </c>
      <c r="I1087" s="15">
        <v>0</v>
      </c>
    </row>
    <row r="1088" spans="2:9" x14ac:dyDescent="0.3">
      <c r="B1088" s="14" t="s">
        <v>20</v>
      </c>
      <c r="C1088" s="15">
        <v>0</v>
      </c>
      <c r="D1088" s="15">
        <v>0</v>
      </c>
      <c r="E1088" s="15">
        <v>0</v>
      </c>
      <c r="F1088" s="15">
        <v>0</v>
      </c>
      <c r="G1088" s="15">
        <v>0</v>
      </c>
      <c r="H1088" s="15">
        <v>300000</v>
      </c>
      <c r="I1088" s="15">
        <v>45319250</v>
      </c>
    </row>
    <row r="1089" spans="2:9" x14ac:dyDescent="0.3">
      <c r="B1089" s="14" t="s">
        <v>24</v>
      </c>
      <c r="C1089" s="15">
        <v>280</v>
      </c>
      <c r="D1089" s="15">
        <v>23715</v>
      </c>
      <c r="E1089" s="15">
        <v>4100</v>
      </c>
      <c r="F1089" s="15">
        <v>304478</v>
      </c>
      <c r="G1089" s="15">
        <v>97750</v>
      </c>
      <c r="H1089" s="15">
        <v>0</v>
      </c>
      <c r="I1089" s="15">
        <v>8000</v>
      </c>
    </row>
    <row r="1090" spans="2:9" x14ac:dyDescent="0.3">
      <c r="B1090" s="14" t="s">
        <v>25</v>
      </c>
      <c r="C1090" s="15">
        <v>2818</v>
      </c>
      <c r="D1090" s="15">
        <v>207895</v>
      </c>
      <c r="E1090" s="15">
        <v>9512</v>
      </c>
      <c r="F1090" s="15">
        <v>625815</v>
      </c>
      <c r="G1090" s="15">
        <v>189820</v>
      </c>
      <c r="H1090" s="15">
        <v>0</v>
      </c>
      <c r="I1090" s="15">
        <v>0</v>
      </c>
    </row>
    <row r="1091" spans="2:9" x14ac:dyDescent="0.3">
      <c r="B1091" s="14" t="s">
        <v>26</v>
      </c>
      <c r="C1091" s="15">
        <v>0</v>
      </c>
      <c r="D1091" s="15">
        <v>0</v>
      </c>
      <c r="E1091" s="15">
        <v>6800</v>
      </c>
      <c r="F1091" s="15">
        <v>16580</v>
      </c>
      <c r="G1091" s="15">
        <v>10000</v>
      </c>
      <c r="H1091" s="15">
        <v>0</v>
      </c>
      <c r="I1091" s="15">
        <v>20000</v>
      </c>
    </row>
    <row r="1092" spans="2:9" x14ac:dyDescent="0.3">
      <c r="B1092" s="14" t="s">
        <v>38</v>
      </c>
      <c r="C1092" s="15">
        <v>19200</v>
      </c>
      <c r="D1092" s="15">
        <v>134400</v>
      </c>
      <c r="E1092" s="15">
        <v>0</v>
      </c>
      <c r="F1092" s="15">
        <v>0</v>
      </c>
      <c r="G1092" s="15">
        <v>0</v>
      </c>
      <c r="H1092" s="15">
        <v>0</v>
      </c>
      <c r="I1092" s="15">
        <v>0</v>
      </c>
    </row>
    <row r="1093" spans="2:9" x14ac:dyDescent="0.3">
      <c r="B1093" s="14" t="s">
        <v>27</v>
      </c>
      <c r="C1093" s="15">
        <v>2750</v>
      </c>
      <c r="D1093" s="15">
        <v>26950</v>
      </c>
      <c r="E1093" s="15">
        <v>15200</v>
      </c>
      <c r="F1093" s="15">
        <v>51200</v>
      </c>
      <c r="G1093" s="15">
        <v>192000</v>
      </c>
      <c r="H1093" s="15">
        <v>0</v>
      </c>
      <c r="I1093" s="15">
        <v>15000</v>
      </c>
    </row>
    <row r="1094" spans="2:9" x14ac:dyDescent="0.3">
      <c r="B1094" s="14" t="s">
        <v>28</v>
      </c>
      <c r="C1094" s="15">
        <v>11670</v>
      </c>
      <c r="D1094" s="15">
        <v>4038705</v>
      </c>
      <c r="E1094" s="15">
        <v>4046</v>
      </c>
      <c r="F1094" s="15">
        <v>1475195</v>
      </c>
      <c r="G1094" s="15">
        <v>0</v>
      </c>
      <c r="H1094" s="15">
        <v>8000</v>
      </c>
      <c r="I1094" s="15">
        <v>2503</v>
      </c>
    </row>
    <row r="1095" spans="2:9" ht="15.6" x14ac:dyDescent="0.3">
      <c r="B1095" s="16" t="s">
        <v>29</v>
      </c>
      <c r="C1095" s="16"/>
      <c r="D1095" s="17">
        <f>SUM(D1082:D1094)</f>
        <v>66677360</v>
      </c>
      <c r="E1095" s="18"/>
      <c r="F1095" s="17">
        <f>SUM(F1082:F1094)</f>
        <v>21697240</v>
      </c>
      <c r="G1095" s="17">
        <f>SUM(G1082:G1094)</f>
        <v>2989545</v>
      </c>
      <c r="H1095" s="19"/>
      <c r="I1095" s="19"/>
    </row>
    <row r="1097" spans="2:9" ht="15.6" x14ac:dyDescent="0.3">
      <c r="B1097" s="13" t="s">
        <v>100</v>
      </c>
      <c r="C1097" s="13"/>
      <c r="D1097" s="13"/>
    </row>
    <row r="1098" spans="2:9" x14ac:dyDescent="0.3">
      <c r="B1098" s="14" t="s">
        <v>12</v>
      </c>
      <c r="C1098" s="15">
        <v>0</v>
      </c>
      <c r="D1098" s="15">
        <v>0</v>
      </c>
      <c r="E1098" s="15">
        <v>2800</v>
      </c>
      <c r="F1098" s="15">
        <v>329900</v>
      </c>
      <c r="G1098" s="15">
        <v>368380</v>
      </c>
      <c r="H1098" s="15">
        <v>0</v>
      </c>
      <c r="I1098" s="15">
        <v>3500</v>
      </c>
    </row>
    <row r="1099" spans="2:9" x14ac:dyDescent="0.3">
      <c r="B1099" s="14" t="s">
        <v>13</v>
      </c>
      <c r="C1099" s="15">
        <v>90</v>
      </c>
      <c r="D1099" s="15">
        <v>16760</v>
      </c>
      <c r="E1099" s="15">
        <v>40</v>
      </c>
      <c r="F1099" s="15">
        <v>0</v>
      </c>
      <c r="G1099" s="15">
        <v>8890</v>
      </c>
      <c r="H1099" s="15">
        <v>30</v>
      </c>
      <c r="I1099" s="15">
        <v>0</v>
      </c>
    </row>
    <row r="1100" spans="2:9" x14ac:dyDescent="0.3">
      <c r="B1100" s="14" t="s">
        <v>14</v>
      </c>
      <c r="C1100" s="15">
        <v>75</v>
      </c>
      <c r="D1100" s="15">
        <v>14280</v>
      </c>
      <c r="E1100" s="15">
        <v>90</v>
      </c>
      <c r="F1100" s="15">
        <v>0</v>
      </c>
      <c r="G1100" s="15">
        <v>19255</v>
      </c>
      <c r="H1100" s="15">
        <v>0</v>
      </c>
      <c r="I1100" s="15">
        <v>0</v>
      </c>
    </row>
    <row r="1101" spans="2:9" x14ac:dyDescent="0.3">
      <c r="B1101" s="14" t="s">
        <v>15</v>
      </c>
      <c r="C1101" s="15">
        <v>1230</v>
      </c>
      <c r="D1101" s="15">
        <v>303750</v>
      </c>
      <c r="E1101" s="15">
        <v>0</v>
      </c>
      <c r="F1101" s="15">
        <v>0</v>
      </c>
      <c r="G1101" s="15">
        <v>0</v>
      </c>
      <c r="H1101" s="15">
        <v>1500</v>
      </c>
      <c r="I1101" s="15">
        <v>0</v>
      </c>
    </row>
    <row r="1102" spans="2:9" x14ac:dyDescent="0.3">
      <c r="B1102" s="14" t="s">
        <v>16</v>
      </c>
      <c r="C1102" s="15">
        <v>105370</v>
      </c>
      <c r="D1102" s="15">
        <v>43711617</v>
      </c>
      <c r="E1102" s="15">
        <v>4760</v>
      </c>
      <c r="F1102" s="15">
        <v>2041750</v>
      </c>
      <c r="G1102" s="15">
        <v>0</v>
      </c>
      <c r="H1102" s="15">
        <v>102020</v>
      </c>
      <c r="I1102" s="15">
        <v>2000</v>
      </c>
    </row>
    <row r="1103" spans="2:9" x14ac:dyDescent="0.3">
      <c r="B1103" s="14" t="s">
        <v>32</v>
      </c>
      <c r="C1103" s="15">
        <v>0</v>
      </c>
      <c r="D1103" s="15">
        <v>0</v>
      </c>
      <c r="E1103" s="15">
        <v>540</v>
      </c>
      <c r="F1103" s="15">
        <v>29185</v>
      </c>
      <c r="G1103" s="15">
        <v>0</v>
      </c>
      <c r="H1103" s="15">
        <v>1345</v>
      </c>
      <c r="I1103" s="15">
        <v>0</v>
      </c>
    </row>
    <row r="1104" spans="2:9" x14ac:dyDescent="0.3">
      <c r="B1104" s="14" t="s">
        <v>17</v>
      </c>
      <c r="C1104" s="15">
        <v>11700</v>
      </c>
      <c r="D1104" s="15">
        <v>165299</v>
      </c>
      <c r="E1104" s="15">
        <v>17400</v>
      </c>
      <c r="F1104" s="15">
        <v>100825</v>
      </c>
      <c r="G1104" s="15">
        <v>215285</v>
      </c>
      <c r="H1104" s="15">
        <v>0</v>
      </c>
      <c r="I1104" s="15">
        <v>0</v>
      </c>
    </row>
    <row r="1105" spans="2:9" x14ac:dyDescent="0.3">
      <c r="B1105" s="14" t="s">
        <v>18</v>
      </c>
      <c r="C1105" s="15">
        <v>225541</v>
      </c>
      <c r="D1105" s="15">
        <v>86653282</v>
      </c>
      <c r="E1105" s="15">
        <v>186643</v>
      </c>
      <c r="F1105" s="15">
        <v>50032371</v>
      </c>
      <c r="G1105" s="15">
        <v>24474715</v>
      </c>
      <c r="H1105" s="15">
        <v>103000</v>
      </c>
      <c r="I1105" s="15">
        <v>57230</v>
      </c>
    </row>
    <row r="1106" spans="2:9" x14ac:dyDescent="0.3">
      <c r="B1106" s="14" t="s">
        <v>19</v>
      </c>
      <c r="C1106" s="15">
        <v>8870</v>
      </c>
      <c r="D1106" s="15">
        <v>4074689</v>
      </c>
      <c r="E1106" s="15">
        <v>12420</v>
      </c>
      <c r="F1106" s="15">
        <v>2849765</v>
      </c>
      <c r="G1106" s="15">
        <v>3080275</v>
      </c>
      <c r="H1106" s="15">
        <v>2500</v>
      </c>
      <c r="I1106" s="15">
        <v>7100</v>
      </c>
    </row>
    <row r="1107" spans="2:9" x14ac:dyDescent="0.3">
      <c r="B1107" s="14" t="s">
        <v>20</v>
      </c>
      <c r="C1107" s="15">
        <v>0</v>
      </c>
      <c r="D1107" s="15">
        <v>0</v>
      </c>
      <c r="E1107" s="15">
        <v>0</v>
      </c>
      <c r="F1107" s="15">
        <v>0</v>
      </c>
      <c r="G1107" s="15">
        <v>0</v>
      </c>
      <c r="H1107" s="15">
        <v>3000000</v>
      </c>
      <c r="I1107" s="15">
        <v>86021500</v>
      </c>
    </row>
    <row r="1108" spans="2:9" x14ac:dyDescent="0.3">
      <c r="B1108" s="14" t="s">
        <v>21</v>
      </c>
      <c r="C1108" s="15">
        <v>200</v>
      </c>
      <c r="D1108" s="15">
        <v>17600</v>
      </c>
      <c r="E1108" s="15">
        <v>0</v>
      </c>
      <c r="F1108" s="15">
        <v>0</v>
      </c>
      <c r="G1108" s="15">
        <v>0</v>
      </c>
      <c r="H1108" s="15">
        <v>0</v>
      </c>
      <c r="I1108" s="15">
        <v>0</v>
      </c>
    </row>
    <row r="1109" spans="2:9" x14ac:dyDescent="0.3">
      <c r="B1109" s="14" t="s">
        <v>22</v>
      </c>
      <c r="C1109" s="15">
        <v>0</v>
      </c>
      <c r="D1109" s="15">
        <v>0</v>
      </c>
      <c r="E1109" s="15">
        <v>406000</v>
      </c>
      <c r="F1109" s="15">
        <v>613320</v>
      </c>
      <c r="G1109" s="15">
        <v>442970</v>
      </c>
      <c r="H1109" s="15">
        <v>0</v>
      </c>
      <c r="I1109" s="15">
        <v>450000</v>
      </c>
    </row>
    <row r="1110" spans="2:9" x14ac:dyDescent="0.3">
      <c r="B1110" s="14" t="s">
        <v>23</v>
      </c>
      <c r="C1110" s="15">
        <v>50</v>
      </c>
      <c r="D1110" s="15">
        <v>10290</v>
      </c>
      <c r="E1110" s="15">
        <v>0</v>
      </c>
      <c r="F1110" s="15">
        <v>0</v>
      </c>
      <c r="G1110" s="15">
        <v>0</v>
      </c>
      <c r="H1110" s="15">
        <v>0</v>
      </c>
      <c r="I1110" s="15">
        <v>0</v>
      </c>
    </row>
    <row r="1111" spans="2:9" x14ac:dyDescent="0.3">
      <c r="B1111" s="14" t="s">
        <v>24</v>
      </c>
      <c r="C1111" s="15">
        <v>1910</v>
      </c>
      <c r="D1111" s="15">
        <v>161731</v>
      </c>
      <c r="E1111" s="15">
        <v>4980</v>
      </c>
      <c r="F1111" s="15">
        <v>394045</v>
      </c>
      <c r="G1111" s="15">
        <v>92245</v>
      </c>
      <c r="H1111" s="15">
        <v>0</v>
      </c>
      <c r="I1111" s="15">
        <v>2100</v>
      </c>
    </row>
    <row r="1112" spans="2:9" x14ac:dyDescent="0.3">
      <c r="B1112" s="14" t="s">
        <v>25</v>
      </c>
      <c r="C1112" s="15">
        <v>17826</v>
      </c>
      <c r="D1112" s="15">
        <v>1317747</v>
      </c>
      <c r="E1112" s="15">
        <v>17036</v>
      </c>
      <c r="F1112" s="15">
        <v>1124285</v>
      </c>
      <c r="G1112" s="15">
        <v>327875</v>
      </c>
      <c r="H1112" s="15">
        <v>100</v>
      </c>
      <c r="I1112" s="15">
        <v>0</v>
      </c>
    </row>
    <row r="1113" spans="2:9" x14ac:dyDescent="0.3">
      <c r="B1113" s="14" t="s">
        <v>26</v>
      </c>
      <c r="C1113" s="15">
        <v>75140</v>
      </c>
      <c r="D1113" s="15">
        <v>225420</v>
      </c>
      <c r="E1113" s="15">
        <v>26070</v>
      </c>
      <c r="F1113" s="15">
        <v>82060</v>
      </c>
      <c r="G1113" s="15">
        <v>16000</v>
      </c>
      <c r="H1113" s="15">
        <v>60000</v>
      </c>
      <c r="I1113" s="15">
        <v>0</v>
      </c>
    </row>
    <row r="1114" spans="2:9" x14ac:dyDescent="0.3">
      <c r="B1114" s="14" t="s">
        <v>33</v>
      </c>
      <c r="C1114" s="15">
        <v>0</v>
      </c>
      <c r="D1114" s="15">
        <v>0</v>
      </c>
      <c r="E1114" s="15">
        <v>9400</v>
      </c>
      <c r="F1114" s="15">
        <v>0</v>
      </c>
      <c r="G1114" s="15">
        <v>45120</v>
      </c>
      <c r="H1114" s="15">
        <v>0</v>
      </c>
      <c r="I1114" s="15">
        <v>0</v>
      </c>
    </row>
    <row r="1115" spans="2:9" x14ac:dyDescent="0.3">
      <c r="B1115" s="14" t="s">
        <v>27</v>
      </c>
      <c r="C1115" s="15">
        <v>4300</v>
      </c>
      <c r="D1115" s="15">
        <v>42140</v>
      </c>
      <c r="E1115" s="15">
        <v>13860</v>
      </c>
      <c r="F1115" s="15">
        <v>78370</v>
      </c>
      <c r="G1115" s="15">
        <v>111500</v>
      </c>
      <c r="H1115" s="15">
        <v>0</v>
      </c>
      <c r="I1115" s="15">
        <v>0</v>
      </c>
    </row>
    <row r="1116" spans="2:9" x14ac:dyDescent="0.3">
      <c r="B1116" s="14" t="s">
        <v>28</v>
      </c>
      <c r="C1116" s="15">
        <v>24438</v>
      </c>
      <c r="D1116" s="15">
        <v>8472645</v>
      </c>
      <c r="E1116" s="15">
        <v>13331</v>
      </c>
      <c r="F1116" s="15">
        <v>3971724</v>
      </c>
      <c r="G1116" s="15">
        <v>842345</v>
      </c>
      <c r="H1116" s="15">
        <v>16000</v>
      </c>
      <c r="I1116" s="15">
        <v>5100</v>
      </c>
    </row>
    <row r="1117" spans="2:9" ht="15.6" x14ac:dyDescent="0.3">
      <c r="B1117" s="16" t="s">
        <v>29</v>
      </c>
      <c r="C1117" s="16"/>
      <c r="D1117" s="17">
        <f>SUM(D1098:D1116)</f>
        <v>145187250</v>
      </c>
      <c r="E1117" s="18"/>
      <c r="F1117" s="17">
        <f>SUM(F1098:F1116)</f>
        <v>61647600</v>
      </c>
      <c r="G1117" s="17">
        <f>SUM(G1098:G1116)</f>
        <v>30044855</v>
      </c>
      <c r="H1117" s="19"/>
      <c r="I1117" s="19"/>
    </row>
    <row r="1119" spans="2:9" ht="17.399999999999999" x14ac:dyDescent="0.3">
      <c r="B1119" s="20" t="s">
        <v>101</v>
      </c>
      <c r="C1119" s="20"/>
      <c r="D1119" s="20"/>
      <c r="E1119" s="20"/>
      <c r="F1119" s="20"/>
      <c r="G1119" s="20"/>
      <c r="H1119" s="20"/>
      <c r="I1119" s="20"/>
    </row>
    <row r="1120" spans="2:9" ht="15.6" x14ac:dyDescent="0.3">
      <c r="B1120" s="13" t="s">
        <v>102</v>
      </c>
      <c r="C1120" s="13"/>
      <c r="D1120" s="13"/>
    </row>
    <row r="1121" spans="2:9" x14ac:dyDescent="0.3">
      <c r="B1121" s="14" t="s">
        <v>14</v>
      </c>
      <c r="C1121" s="15">
        <v>0</v>
      </c>
      <c r="D1121" s="15">
        <v>0</v>
      </c>
      <c r="E1121" s="15">
        <v>1090</v>
      </c>
      <c r="F1121" s="15">
        <v>233055</v>
      </c>
      <c r="G1121" s="15">
        <v>0</v>
      </c>
      <c r="H1121" s="15">
        <v>0</v>
      </c>
      <c r="I1121" s="15">
        <v>1100</v>
      </c>
    </row>
    <row r="1122" spans="2:9" x14ac:dyDescent="0.3">
      <c r="B1122" s="14" t="s">
        <v>15</v>
      </c>
      <c r="C1122" s="15">
        <v>60</v>
      </c>
      <c r="D1122" s="15">
        <v>14860</v>
      </c>
      <c r="E1122" s="15">
        <v>0</v>
      </c>
      <c r="F1122" s="15">
        <v>0</v>
      </c>
      <c r="G1122" s="15">
        <v>0</v>
      </c>
      <c r="H1122" s="15">
        <v>0</v>
      </c>
      <c r="I1122" s="15">
        <v>0</v>
      </c>
    </row>
    <row r="1123" spans="2:9" x14ac:dyDescent="0.3">
      <c r="B1123" s="14" t="s">
        <v>16</v>
      </c>
      <c r="C1123" s="15">
        <v>33510</v>
      </c>
      <c r="D1123" s="15">
        <v>13666355</v>
      </c>
      <c r="E1123" s="15">
        <v>0</v>
      </c>
      <c r="F1123" s="15">
        <v>0</v>
      </c>
      <c r="G1123" s="15">
        <v>0</v>
      </c>
      <c r="H1123" s="15">
        <v>35000</v>
      </c>
      <c r="I1123" s="15">
        <v>0</v>
      </c>
    </row>
    <row r="1124" spans="2:9" x14ac:dyDescent="0.3">
      <c r="B1124" s="14" t="s">
        <v>17</v>
      </c>
      <c r="C1124" s="15">
        <v>0</v>
      </c>
      <c r="D1124" s="15">
        <v>0</v>
      </c>
      <c r="E1124" s="15">
        <v>18100</v>
      </c>
      <c r="F1124" s="15">
        <v>217150</v>
      </c>
      <c r="G1124" s="15">
        <v>99690</v>
      </c>
      <c r="H1124" s="15">
        <v>0</v>
      </c>
      <c r="I1124" s="15">
        <v>15000</v>
      </c>
    </row>
    <row r="1125" spans="2:9" x14ac:dyDescent="0.3">
      <c r="B1125" s="14" t="s">
        <v>18</v>
      </c>
      <c r="C1125" s="15">
        <v>203929</v>
      </c>
      <c r="D1125" s="15">
        <v>78596408</v>
      </c>
      <c r="E1125" s="15">
        <v>206398</v>
      </c>
      <c r="F1125" s="15">
        <v>14813475</v>
      </c>
      <c r="G1125" s="15">
        <v>67114824</v>
      </c>
      <c r="H1125" s="15">
        <v>157000</v>
      </c>
      <c r="I1125" s="15">
        <v>149220</v>
      </c>
    </row>
    <row r="1126" spans="2:9" x14ac:dyDescent="0.3">
      <c r="B1126" s="14" t="s">
        <v>19</v>
      </c>
      <c r="C1126" s="15">
        <v>4735</v>
      </c>
      <c r="D1126" s="15">
        <v>2167565</v>
      </c>
      <c r="E1126" s="15">
        <v>2370</v>
      </c>
      <c r="F1126" s="15">
        <v>452585</v>
      </c>
      <c r="G1126" s="15">
        <v>677005</v>
      </c>
      <c r="H1126" s="15">
        <v>3000</v>
      </c>
      <c r="I1126" s="15">
        <v>1000</v>
      </c>
    </row>
    <row r="1127" spans="2:9" x14ac:dyDescent="0.3">
      <c r="B1127" s="14" t="s">
        <v>20</v>
      </c>
      <c r="C1127" s="15">
        <v>0</v>
      </c>
      <c r="D1127" s="15">
        <v>0</v>
      </c>
      <c r="E1127" s="15">
        <v>0</v>
      </c>
      <c r="F1127" s="15">
        <v>0</v>
      </c>
      <c r="G1127" s="15">
        <v>0</v>
      </c>
      <c r="H1127" s="15">
        <v>736215</v>
      </c>
      <c r="I1127" s="15">
        <v>81372000</v>
      </c>
    </row>
    <row r="1128" spans="2:9" x14ac:dyDescent="0.3">
      <c r="B1128" s="14" t="s">
        <v>24</v>
      </c>
      <c r="C1128" s="15">
        <v>1810</v>
      </c>
      <c r="D1128" s="15">
        <v>153235</v>
      </c>
      <c r="E1128" s="15">
        <v>2440</v>
      </c>
      <c r="F1128" s="15">
        <v>117425</v>
      </c>
      <c r="G1128" s="15">
        <v>121446</v>
      </c>
      <c r="H1128" s="15">
        <v>0</v>
      </c>
      <c r="I1128" s="15">
        <v>1000</v>
      </c>
    </row>
    <row r="1129" spans="2:9" x14ac:dyDescent="0.3">
      <c r="B1129" s="14" t="s">
        <v>25</v>
      </c>
      <c r="C1129" s="15">
        <v>3858</v>
      </c>
      <c r="D1129" s="15">
        <v>284820</v>
      </c>
      <c r="E1129" s="15">
        <v>29426</v>
      </c>
      <c r="F1129" s="15">
        <v>2126090</v>
      </c>
      <c r="G1129" s="15">
        <v>360000</v>
      </c>
      <c r="H1129" s="15">
        <v>0</v>
      </c>
      <c r="I1129" s="15">
        <v>29000</v>
      </c>
    </row>
    <row r="1130" spans="2:9" x14ac:dyDescent="0.3">
      <c r="B1130" s="14" t="s">
        <v>26</v>
      </c>
      <c r="C1130" s="15">
        <v>9470</v>
      </c>
      <c r="D1130" s="15">
        <v>28410</v>
      </c>
      <c r="E1130" s="15">
        <v>0</v>
      </c>
      <c r="F1130" s="15">
        <v>0</v>
      </c>
      <c r="G1130" s="15">
        <v>0</v>
      </c>
      <c r="H1130" s="15">
        <v>0</v>
      </c>
      <c r="I1130" s="15">
        <v>0</v>
      </c>
    </row>
    <row r="1131" spans="2:9" x14ac:dyDescent="0.3">
      <c r="B1131" s="14" t="s">
        <v>38</v>
      </c>
      <c r="C1131" s="15">
        <v>1000</v>
      </c>
      <c r="D1131" s="15">
        <v>7000</v>
      </c>
      <c r="E1131" s="15">
        <v>0</v>
      </c>
      <c r="F1131" s="15">
        <v>0</v>
      </c>
      <c r="G1131" s="15">
        <v>0</v>
      </c>
      <c r="H1131" s="15">
        <v>0</v>
      </c>
      <c r="I1131" s="15">
        <v>0</v>
      </c>
    </row>
    <row r="1132" spans="2:9" x14ac:dyDescent="0.3">
      <c r="B1132" s="14" t="s">
        <v>27</v>
      </c>
      <c r="C1132" s="15">
        <v>0</v>
      </c>
      <c r="D1132" s="15">
        <v>0</v>
      </c>
      <c r="E1132" s="15">
        <v>10000</v>
      </c>
      <c r="F1132" s="15">
        <v>130830</v>
      </c>
      <c r="G1132" s="15">
        <v>0</v>
      </c>
      <c r="H1132" s="15">
        <v>0</v>
      </c>
      <c r="I1132" s="15">
        <v>7000</v>
      </c>
    </row>
    <row r="1133" spans="2:9" x14ac:dyDescent="0.3">
      <c r="B1133" s="14" t="s">
        <v>28</v>
      </c>
      <c r="C1133" s="15">
        <v>7625</v>
      </c>
      <c r="D1133" s="15">
        <v>2660962</v>
      </c>
      <c r="E1133" s="15">
        <v>17187</v>
      </c>
      <c r="F1133" s="15">
        <v>1541400</v>
      </c>
      <c r="G1133" s="15">
        <v>4612535</v>
      </c>
      <c r="H1133" s="15">
        <v>3070</v>
      </c>
      <c r="I1133" s="15">
        <v>12400</v>
      </c>
    </row>
    <row r="1134" spans="2:9" ht="15.6" x14ac:dyDescent="0.3">
      <c r="B1134" s="16" t="s">
        <v>29</v>
      </c>
      <c r="C1134" s="16"/>
      <c r="D1134" s="17">
        <f>SUM(D1121:D1133)</f>
        <v>97579615</v>
      </c>
      <c r="E1134" s="18"/>
      <c r="F1134" s="17">
        <f>SUM(F1121:F1133)</f>
        <v>19632010</v>
      </c>
      <c r="G1134" s="17">
        <f>SUM(G1121:G1133)</f>
        <v>72985500</v>
      </c>
      <c r="H1134" s="19"/>
      <c r="I1134" s="19"/>
    </row>
    <row r="1136" spans="2:9" ht="15.6" x14ac:dyDescent="0.3">
      <c r="B1136" s="13" t="s">
        <v>103</v>
      </c>
      <c r="C1136" s="13"/>
      <c r="D1136" s="13"/>
    </row>
    <row r="1137" spans="2:9" x14ac:dyDescent="0.3">
      <c r="B1137" s="14" t="s">
        <v>16</v>
      </c>
      <c r="C1137" s="15">
        <v>39470</v>
      </c>
      <c r="D1137" s="15">
        <v>16270040</v>
      </c>
      <c r="E1137" s="15">
        <v>200</v>
      </c>
      <c r="F1137" s="15">
        <v>86000</v>
      </c>
      <c r="G1137" s="15">
        <v>0</v>
      </c>
      <c r="H1137" s="15">
        <v>43500</v>
      </c>
      <c r="I1137" s="15">
        <v>0</v>
      </c>
    </row>
    <row r="1138" spans="2:9" x14ac:dyDescent="0.3">
      <c r="B1138" s="14" t="s">
        <v>32</v>
      </c>
      <c r="C1138" s="15">
        <v>0</v>
      </c>
      <c r="D1138" s="15">
        <v>0</v>
      </c>
      <c r="E1138" s="15">
        <v>6</v>
      </c>
      <c r="F1138" s="15">
        <v>360</v>
      </c>
      <c r="G1138" s="15">
        <v>0</v>
      </c>
      <c r="H1138" s="15">
        <v>0</v>
      </c>
      <c r="I1138" s="15">
        <v>0</v>
      </c>
    </row>
    <row r="1139" spans="2:9" x14ac:dyDescent="0.3">
      <c r="B1139" s="14" t="s">
        <v>17</v>
      </c>
      <c r="C1139" s="15">
        <v>0</v>
      </c>
      <c r="D1139" s="15">
        <v>0</v>
      </c>
      <c r="E1139" s="15">
        <v>600</v>
      </c>
      <c r="F1139" s="15">
        <v>10890</v>
      </c>
      <c r="G1139" s="15">
        <v>0</v>
      </c>
      <c r="H1139" s="15">
        <v>10000</v>
      </c>
      <c r="I1139" s="15">
        <v>11000</v>
      </c>
    </row>
    <row r="1140" spans="2:9" x14ac:dyDescent="0.3">
      <c r="B1140" s="14" t="s">
        <v>18</v>
      </c>
      <c r="C1140" s="15">
        <v>96881</v>
      </c>
      <c r="D1140" s="15">
        <v>37518430</v>
      </c>
      <c r="E1140" s="15">
        <v>27164</v>
      </c>
      <c r="F1140" s="15">
        <v>6264705</v>
      </c>
      <c r="G1140" s="15">
        <v>4589060</v>
      </c>
      <c r="H1140" s="15">
        <v>77000</v>
      </c>
      <c r="I1140" s="15">
        <v>0</v>
      </c>
    </row>
    <row r="1141" spans="2:9" x14ac:dyDescent="0.3">
      <c r="B1141" s="14" t="s">
        <v>19</v>
      </c>
      <c r="C1141" s="15">
        <v>1660</v>
      </c>
      <c r="D1141" s="15">
        <v>765265</v>
      </c>
      <c r="E1141" s="15">
        <v>1560</v>
      </c>
      <c r="F1141" s="15">
        <v>744190</v>
      </c>
      <c r="G1141" s="15">
        <v>0</v>
      </c>
      <c r="H1141" s="15">
        <v>0</v>
      </c>
      <c r="I1141" s="15">
        <v>0</v>
      </c>
    </row>
    <row r="1142" spans="2:9" x14ac:dyDescent="0.3">
      <c r="B1142" s="14" t="s">
        <v>20</v>
      </c>
      <c r="C1142" s="15">
        <v>0</v>
      </c>
      <c r="D1142" s="15">
        <v>0</v>
      </c>
      <c r="E1142" s="15">
        <v>0</v>
      </c>
      <c r="F1142" s="15">
        <v>0</v>
      </c>
      <c r="G1142" s="15">
        <v>0</v>
      </c>
      <c r="H1142" s="15">
        <v>0</v>
      </c>
      <c r="I1142" s="15">
        <v>55461500</v>
      </c>
    </row>
    <row r="1143" spans="2:9" x14ac:dyDescent="0.3">
      <c r="B1143" s="14" t="s">
        <v>24</v>
      </c>
      <c r="C1143" s="15">
        <v>60</v>
      </c>
      <c r="D1143" s="15">
        <v>5055</v>
      </c>
      <c r="E1143" s="15">
        <v>2480</v>
      </c>
      <c r="F1143" s="15">
        <v>242925</v>
      </c>
      <c r="G1143" s="15">
        <v>0</v>
      </c>
      <c r="H1143" s="15">
        <v>0</v>
      </c>
      <c r="I1143" s="15">
        <v>5000</v>
      </c>
    </row>
    <row r="1144" spans="2:9" x14ac:dyDescent="0.3">
      <c r="B1144" s="14" t="s">
        <v>25</v>
      </c>
      <c r="C1144" s="15">
        <v>900</v>
      </c>
      <c r="D1144" s="15">
        <v>66170</v>
      </c>
      <c r="E1144" s="15">
        <v>6449</v>
      </c>
      <c r="F1144" s="15">
        <v>406780</v>
      </c>
      <c r="G1144" s="15">
        <v>145055</v>
      </c>
      <c r="H1144" s="15">
        <v>0</v>
      </c>
      <c r="I1144" s="15">
        <v>5000</v>
      </c>
    </row>
    <row r="1145" spans="2:9" x14ac:dyDescent="0.3">
      <c r="B1145" s="14" t="s">
        <v>27</v>
      </c>
      <c r="C1145" s="15">
        <v>0</v>
      </c>
      <c r="D1145" s="15">
        <v>0</v>
      </c>
      <c r="E1145" s="15">
        <v>1000</v>
      </c>
      <c r="F1145" s="15">
        <v>0</v>
      </c>
      <c r="G1145" s="15">
        <v>16000</v>
      </c>
      <c r="H1145" s="15">
        <v>0</v>
      </c>
      <c r="I1145" s="15">
        <v>0</v>
      </c>
    </row>
    <row r="1146" spans="2:9" x14ac:dyDescent="0.3">
      <c r="B1146" s="14" t="s">
        <v>28</v>
      </c>
      <c r="C1146" s="15">
        <v>3346</v>
      </c>
      <c r="D1146" s="15">
        <v>1169755</v>
      </c>
      <c r="E1146" s="15">
        <v>2050</v>
      </c>
      <c r="F1146" s="15">
        <v>577880</v>
      </c>
      <c r="G1146" s="15">
        <v>162350</v>
      </c>
      <c r="H1146" s="15">
        <v>3000</v>
      </c>
      <c r="I1146" s="15">
        <v>1000</v>
      </c>
    </row>
    <row r="1147" spans="2:9" ht="15.6" x14ac:dyDescent="0.3">
      <c r="B1147" s="16" t="s">
        <v>29</v>
      </c>
      <c r="C1147" s="16"/>
      <c r="D1147" s="17">
        <f>SUM(D1137:D1146)</f>
        <v>55794715</v>
      </c>
      <c r="E1147" s="18"/>
      <c r="F1147" s="17">
        <f>SUM(F1137:F1146)</f>
        <v>8333730</v>
      </c>
      <c r="G1147" s="17">
        <f>SUM(G1137:G1146)</f>
        <v>4912465</v>
      </c>
      <c r="H1147" s="19"/>
      <c r="I1147" s="19"/>
    </row>
    <row r="1149" spans="2:9" ht="15.6" x14ac:dyDescent="0.3">
      <c r="B1149" s="13" t="s">
        <v>104</v>
      </c>
      <c r="C1149" s="13"/>
      <c r="D1149" s="13"/>
    </row>
    <row r="1150" spans="2:9" x14ac:dyDescent="0.3">
      <c r="B1150" s="14" t="s">
        <v>12</v>
      </c>
      <c r="C1150" s="15">
        <v>5</v>
      </c>
      <c r="D1150" s="15">
        <v>1167</v>
      </c>
      <c r="E1150" s="15">
        <v>0</v>
      </c>
      <c r="F1150" s="15">
        <v>0</v>
      </c>
      <c r="G1150" s="15">
        <v>0</v>
      </c>
      <c r="H1150" s="15">
        <v>0</v>
      </c>
      <c r="I1150" s="15">
        <v>0</v>
      </c>
    </row>
    <row r="1151" spans="2:9" x14ac:dyDescent="0.3">
      <c r="B1151" s="14" t="s">
        <v>13</v>
      </c>
      <c r="C1151" s="15">
        <v>0</v>
      </c>
      <c r="D1151" s="15">
        <v>0</v>
      </c>
      <c r="E1151" s="15">
        <v>0</v>
      </c>
      <c r="F1151" s="15">
        <v>0</v>
      </c>
      <c r="G1151" s="15">
        <v>0</v>
      </c>
      <c r="H1151" s="15">
        <v>200</v>
      </c>
      <c r="I1151" s="15">
        <v>0</v>
      </c>
    </row>
    <row r="1152" spans="2:9" x14ac:dyDescent="0.3">
      <c r="B1152" s="14" t="s">
        <v>15</v>
      </c>
      <c r="C1152" s="15">
        <v>1000</v>
      </c>
      <c r="D1152" s="15">
        <v>250000</v>
      </c>
      <c r="E1152" s="15">
        <v>0</v>
      </c>
      <c r="F1152" s="15">
        <v>0</v>
      </c>
      <c r="G1152" s="15">
        <v>0</v>
      </c>
      <c r="H1152" s="15">
        <v>1000</v>
      </c>
      <c r="I1152" s="15">
        <v>0</v>
      </c>
    </row>
    <row r="1153" spans="2:9" x14ac:dyDescent="0.3">
      <c r="B1153" s="14" t="s">
        <v>16</v>
      </c>
      <c r="C1153" s="15">
        <v>19580</v>
      </c>
      <c r="D1153" s="15">
        <v>8050535</v>
      </c>
      <c r="E1153" s="15">
        <v>50</v>
      </c>
      <c r="F1153" s="15">
        <v>0</v>
      </c>
      <c r="G1153" s="15">
        <v>21400</v>
      </c>
      <c r="H1153" s="15">
        <v>19500</v>
      </c>
      <c r="I1153" s="15">
        <v>0</v>
      </c>
    </row>
    <row r="1154" spans="2:9" x14ac:dyDescent="0.3">
      <c r="B1154" s="14" t="s">
        <v>17</v>
      </c>
      <c r="C1154" s="15">
        <v>400</v>
      </c>
      <c r="D1154" s="15">
        <v>5795</v>
      </c>
      <c r="E1154" s="15">
        <v>20100</v>
      </c>
      <c r="F1154" s="15">
        <v>251245</v>
      </c>
      <c r="G1154" s="15">
        <v>103385</v>
      </c>
      <c r="H1154" s="15">
        <v>0</v>
      </c>
      <c r="I1154" s="15">
        <v>34000</v>
      </c>
    </row>
    <row r="1155" spans="2:9" x14ac:dyDescent="0.3">
      <c r="B1155" s="14" t="s">
        <v>18</v>
      </c>
      <c r="C1155" s="15">
        <v>216059</v>
      </c>
      <c r="D1155" s="15">
        <v>83187013</v>
      </c>
      <c r="E1155" s="15">
        <v>28053</v>
      </c>
      <c r="F1155" s="15">
        <v>7778096</v>
      </c>
      <c r="G1155" s="15">
        <v>3460375</v>
      </c>
      <c r="H1155" s="15">
        <v>202000</v>
      </c>
      <c r="I1155" s="15">
        <v>0</v>
      </c>
    </row>
    <row r="1156" spans="2:9" x14ac:dyDescent="0.3">
      <c r="B1156" s="14" t="s">
        <v>19</v>
      </c>
      <c r="C1156" s="15">
        <v>1580</v>
      </c>
      <c r="D1156" s="15">
        <v>728775</v>
      </c>
      <c r="E1156" s="15">
        <v>2380</v>
      </c>
      <c r="F1156" s="15">
        <v>907380</v>
      </c>
      <c r="G1156" s="15">
        <v>237870</v>
      </c>
      <c r="H1156" s="15">
        <v>0</v>
      </c>
      <c r="I1156" s="15">
        <v>0</v>
      </c>
    </row>
    <row r="1157" spans="2:9" x14ac:dyDescent="0.3">
      <c r="B1157" s="14" t="s">
        <v>20</v>
      </c>
      <c r="C1157" s="15">
        <v>0</v>
      </c>
      <c r="D1157" s="15">
        <v>0</v>
      </c>
      <c r="E1157" s="15">
        <v>0</v>
      </c>
      <c r="F1157" s="15">
        <v>0</v>
      </c>
      <c r="G1157" s="15">
        <v>0</v>
      </c>
      <c r="H1157" s="15">
        <v>1500000</v>
      </c>
      <c r="I1157" s="15">
        <v>88578500</v>
      </c>
    </row>
    <row r="1158" spans="2:9" x14ac:dyDescent="0.3">
      <c r="B1158" s="14" t="s">
        <v>24</v>
      </c>
      <c r="C1158" s="15">
        <v>500</v>
      </c>
      <c r="D1158" s="15">
        <v>42340</v>
      </c>
      <c r="E1158" s="15">
        <v>10580</v>
      </c>
      <c r="F1158" s="15">
        <v>627633</v>
      </c>
      <c r="G1158" s="15">
        <v>405320</v>
      </c>
      <c r="H1158" s="15">
        <v>0</v>
      </c>
      <c r="I1158" s="15">
        <v>12000</v>
      </c>
    </row>
    <row r="1159" spans="2:9" x14ac:dyDescent="0.3">
      <c r="B1159" s="14" t="s">
        <v>25</v>
      </c>
      <c r="C1159" s="15">
        <v>1069</v>
      </c>
      <c r="D1159" s="15">
        <v>78705</v>
      </c>
      <c r="E1159" s="15">
        <v>19093</v>
      </c>
      <c r="F1159" s="15">
        <v>1366470</v>
      </c>
      <c r="G1159" s="15">
        <v>242460</v>
      </c>
      <c r="H1159" s="15">
        <v>0</v>
      </c>
      <c r="I1159" s="15">
        <v>17000</v>
      </c>
    </row>
    <row r="1160" spans="2:9" x14ac:dyDescent="0.3">
      <c r="B1160" s="14" t="s">
        <v>26</v>
      </c>
      <c r="C1160" s="15">
        <v>1810</v>
      </c>
      <c r="D1160" s="15">
        <v>5430</v>
      </c>
      <c r="E1160" s="15">
        <v>14000</v>
      </c>
      <c r="F1160" s="15">
        <v>56000</v>
      </c>
      <c r="G1160" s="15">
        <v>0</v>
      </c>
      <c r="H1160" s="15">
        <v>0</v>
      </c>
      <c r="I1160" s="15">
        <v>0</v>
      </c>
    </row>
    <row r="1161" spans="2:9" x14ac:dyDescent="0.3">
      <c r="B1161" s="14" t="s">
        <v>27</v>
      </c>
      <c r="C1161" s="15">
        <v>0</v>
      </c>
      <c r="D1161" s="15">
        <v>0</v>
      </c>
      <c r="E1161" s="15">
        <v>4800</v>
      </c>
      <c r="F1161" s="15">
        <v>76320</v>
      </c>
      <c r="G1161" s="15">
        <v>0</v>
      </c>
      <c r="H1161" s="15">
        <v>0</v>
      </c>
      <c r="I1161" s="15">
        <v>4000</v>
      </c>
    </row>
    <row r="1162" spans="2:9" x14ac:dyDescent="0.3">
      <c r="B1162" s="14" t="s">
        <v>28</v>
      </c>
      <c r="C1162" s="15">
        <v>5220</v>
      </c>
      <c r="D1162" s="15">
        <v>1797170</v>
      </c>
      <c r="E1162" s="15">
        <v>3737</v>
      </c>
      <c r="F1162" s="15">
        <v>1354356</v>
      </c>
      <c r="G1162" s="15">
        <v>0</v>
      </c>
      <c r="H1162" s="15">
        <v>0</v>
      </c>
      <c r="I1162" s="15">
        <v>0</v>
      </c>
    </row>
    <row r="1163" spans="2:9" ht="15.6" x14ac:dyDescent="0.3">
      <c r="B1163" s="16" t="s">
        <v>29</v>
      </c>
      <c r="C1163" s="16"/>
      <c r="D1163" s="17">
        <f>SUM(D1150:D1162)</f>
        <v>94146930</v>
      </c>
      <c r="E1163" s="18"/>
      <c r="F1163" s="17">
        <f>SUM(F1150:F1162)</f>
        <v>12417500</v>
      </c>
      <c r="G1163" s="17">
        <f>SUM(G1150:G1162)</f>
        <v>4470810</v>
      </c>
      <c r="H1163" s="19"/>
      <c r="I1163" s="19"/>
    </row>
    <row r="1165" spans="2:9" ht="15.6" x14ac:dyDescent="0.3">
      <c r="B1165" s="13" t="s">
        <v>105</v>
      </c>
      <c r="C1165" s="13"/>
      <c r="D1165" s="13"/>
    </row>
    <row r="1166" spans="2:9" x14ac:dyDescent="0.3">
      <c r="B1166" s="14" t="s">
        <v>14</v>
      </c>
      <c r="C1166" s="15">
        <v>0</v>
      </c>
      <c r="D1166" s="15">
        <v>0</v>
      </c>
      <c r="E1166" s="15">
        <v>2000</v>
      </c>
      <c r="F1166" s="15">
        <v>427625</v>
      </c>
      <c r="G1166" s="15">
        <v>0</v>
      </c>
      <c r="H1166" s="15">
        <v>0</v>
      </c>
      <c r="I1166" s="15">
        <v>2500</v>
      </c>
    </row>
    <row r="1167" spans="2:9" x14ac:dyDescent="0.3">
      <c r="B1167" s="14" t="s">
        <v>15</v>
      </c>
      <c r="C1167" s="15">
        <v>0</v>
      </c>
      <c r="D1167" s="15">
        <v>0</v>
      </c>
      <c r="E1167" s="15">
        <v>5</v>
      </c>
      <c r="F1167" s="15">
        <v>1358</v>
      </c>
      <c r="G1167" s="15">
        <v>0</v>
      </c>
      <c r="H1167" s="15">
        <v>0</v>
      </c>
      <c r="I1167" s="15">
        <v>0</v>
      </c>
    </row>
    <row r="1168" spans="2:9" x14ac:dyDescent="0.3">
      <c r="B1168" s="14" t="s">
        <v>16</v>
      </c>
      <c r="C1168" s="15">
        <v>8370</v>
      </c>
      <c r="D1168" s="15">
        <v>3414645</v>
      </c>
      <c r="E1168" s="15">
        <v>0</v>
      </c>
      <c r="F1168" s="15">
        <v>0</v>
      </c>
      <c r="G1168" s="15">
        <v>0</v>
      </c>
      <c r="H1168" s="15">
        <v>9000</v>
      </c>
      <c r="I1168" s="15">
        <v>0</v>
      </c>
    </row>
    <row r="1169" spans="2:9" x14ac:dyDescent="0.3">
      <c r="B1169" s="14" t="s">
        <v>17</v>
      </c>
      <c r="C1169" s="15">
        <v>8700</v>
      </c>
      <c r="D1169" s="15">
        <v>123357</v>
      </c>
      <c r="E1169" s="15">
        <v>21500</v>
      </c>
      <c r="F1169" s="15">
        <v>304550</v>
      </c>
      <c r="G1169" s="15">
        <v>71880</v>
      </c>
      <c r="H1169" s="15">
        <v>0</v>
      </c>
      <c r="I1169" s="15">
        <v>10000</v>
      </c>
    </row>
    <row r="1170" spans="2:9" x14ac:dyDescent="0.3">
      <c r="B1170" s="14" t="s">
        <v>18</v>
      </c>
      <c r="C1170" s="15">
        <v>116101</v>
      </c>
      <c r="D1170" s="15">
        <v>44731699</v>
      </c>
      <c r="E1170" s="15">
        <v>47670</v>
      </c>
      <c r="F1170" s="15">
        <v>14603080</v>
      </c>
      <c r="G1170" s="15">
        <v>4416350</v>
      </c>
      <c r="H1170" s="15">
        <v>60000</v>
      </c>
      <c r="I1170" s="15">
        <v>5150</v>
      </c>
    </row>
    <row r="1171" spans="2:9" x14ac:dyDescent="0.3">
      <c r="B1171" s="14" t="s">
        <v>19</v>
      </c>
      <c r="C1171" s="15">
        <v>6690</v>
      </c>
      <c r="D1171" s="15">
        <v>3075605</v>
      </c>
      <c r="E1171" s="15">
        <v>450</v>
      </c>
      <c r="F1171" s="15">
        <v>142410</v>
      </c>
      <c r="G1171" s="15">
        <v>71810</v>
      </c>
      <c r="H1171" s="15">
        <v>6500</v>
      </c>
      <c r="I1171" s="15">
        <v>0</v>
      </c>
    </row>
    <row r="1172" spans="2:9" x14ac:dyDescent="0.3">
      <c r="B1172" s="14" t="s">
        <v>20</v>
      </c>
      <c r="C1172" s="15">
        <v>0</v>
      </c>
      <c r="D1172" s="15">
        <v>0</v>
      </c>
      <c r="E1172" s="15">
        <v>0</v>
      </c>
      <c r="F1172" s="15">
        <v>0</v>
      </c>
      <c r="G1172" s="15">
        <v>0</v>
      </c>
      <c r="H1172" s="15">
        <v>1500000</v>
      </c>
      <c r="I1172" s="15">
        <v>34065940</v>
      </c>
    </row>
    <row r="1173" spans="2:9" x14ac:dyDescent="0.3">
      <c r="B1173" s="14" t="s">
        <v>21</v>
      </c>
      <c r="C1173" s="15">
        <v>0</v>
      </c>
      <c r="D1173" s="15">
        <v>0</v>
      </c>
      <c r="E1173" s="15">
        <v>20</v>
      </c>
      <c r="F1173" s="15">
        <v>2112</v>
      </c>
      <c r="G1173" s="15">
        <v>0</v>
      </c>
      <c r="H1173" s="15">
        <v>0</v>
      </c>
      <c r="I1173" s="15">
        <v>0</v>
      </c>
    </row>
    <row r="1174" spans="2:9" x14ac:dyDescent="0.3">
      <c r="B1174" s="14" t="s">
        <v>24</v>
      </c>
      <c r="C1174" s="15">
        <v>870</v>
      </c>
      <c r="D1174" s="15">
        <v>74189</v>
      </c>
      <c r="E1174" s="15">
        <v>300</v>
      </c>
      <c r="F1174" s="15">
        <v>0</v>
      </c>
      <c r="G1174" s="15">
        <v>29495</v>
      </c>
      <c r="H1174" s="15">
        <v>0</v>
      </c>
      <c r="I1174" s="15">
        <v>0</v>
      </c>
    </row>
    <row r="1175" spans="2:9" x14ac:dyDescent="0.3">
      <c r="B1175" s="14" t="s">
        <v>25</v>
      </c>
      <c r="C1175" s="15">
        <v>467</v>
      </c>
      <c r="D1175" s="15">
        <v>34290</v>
      </c>
      <c r="E1175" s="15">
        <v>7735</v>
      </c>
      <c r="F1175" s="15">
        <v>353295</v>
      </c>
      <c r="G1175" s="15">
        <v>307610</v>
      </c>
      <c r="H1175" s="15">
        <v>0</v>
      </c>
      <c r="I1175" s="15">
        <v>4000</v>
      </c>
    </row>
    <row r="1176" spans="2:9" x14ac:dyDescent="0.3">
      <c r="B1176" s="14" t="s">
        <v>26</v>
      </c>
      <c r="C1176" s="15">
        <v>5550</v>
      </c>
      <c r="D1176" s="15">
        <v>16650</v>
      </c>
      <c r="E1176" s="15">
        <v>710</v>
      </c>
      <c r="F1176" s="15">
        <v>2800</v>
      </c>
      <c r="G1176" s="15">
        <v>40</v>
      </c>
      <c r="H1176" s="15">
        <v>0</v>
      </c>
      <c r="I1176" s="15">
        <v>0</v>
      </c>
    </row>
    <row r="1177" spans="2:9" x14ac:dyDescent="0.3">
      <c r="B1177" s="14" t="s">
        <v>33</v>
      </c>
      <c r="C1177" s="15">
        <v>100</v>
      </c>
      <c r="D1177" s="15">
        <v>200</v>
      </c>
      <c r="E1177" s="15">
        <v>0</v>
      </c>
      <c r="F1177" s="15">
        <v>0</v>
      </c>
      <c r="G1177" s="15">
        <v>0</v>
      </c>
      <c r="H1177" s="15">
        <v>0</v>
      </c>
      <c r="I1177" s="15">
        <v>0</v>
      </c>
    </row>
    <row r="1178" spans="2:9" x14ac:dyDescent="0.3">
      <c r="B1178" s="14" t="s">
        <v>27</v>
      </c>
      <c r="C1178" s="15">
        <v>10000</v>
      </c>
      <c r="D1178" s="15">
        <v>99000</v>
      </c>
      <c r="E1178" s="15">
        <v>16650</v>
      </c>
      <c r="F1178" s="15">
        <v>155760</v>
      </c>
      <c r="G1178" s="15">
        <v>48000</v>
      </c>
      <c r="H1178" s="15">
        <v>0</v>
      </c>
      <c r="I1178" s="15">
        <v>8000</v>
      </c>
    </row>
    <row r="1179" spans="2:9" x14ac:dyDescent="0.3">
      <c r="B1179" s="14" t="s">
        <v>28</v>
      </c>
      <c r="C1179" s="15">
        <v>2121</v>
      </c>
      <c r="D1179" s="15">
        <v>733475</v>
      </c>
      <c r="E1179" s="15">
        <v>5769</v>
      </c>
      <c r="F1179" s="15">
        <v>1627415</v>
      </c>
      <c r="G1179" s="15">
        <v>453615</v>
      </c>
      <c r="H1179" s="15">
        <v>0</v>
      </c>
      <c r="I1179" s="15">
        <v>3000</v>
      </c>
    </row>
    <row r="1180" spans="2:9" ht="15.6" x14ac:dyDescent="0.3">
      <c r="B1180" s="16" t="s">
        <v>29</v>
      </c>
      <c r="C1180" s="16"/>
      <c r="D1180" s="17">
        <f>SUM(D1166:D1179)</f>
        <v>52303110</v>
      </c>
      <c r="E1180" s="18"/>
      <c r="F1180" s="17">
        <f>SUM(F1166:F1179)</f>
        <v>17620405</v>
      </c>
      <c r="G1180" s="17">
        <f>SUM(G1166:G1179)</f>
        <v>5398800</v>
      </c>
      <c r="H1180" s="19"/>
      <c r="I1180" s="19"/>
    </row>
    <row r="1182" spans="2:9" ht="15.6" x14ac:dyDescent="0.3">
      <c r="B1182" s="13" t="s">
        <v>106</v>
      </c>
      <c r="C1182" s="13"/>
      <c r="D1182" s="13"/>
    </row>
    <row r="1183" spans="2:9" x14ac:dyDescent="0.3">
      <c r="B1183" s="14" t="s">
        <v>14</v>
      </c>
      <c r="C1183" s="15">
        <v>0</v>
      </c>
      <c r="D1183" s="15">
        <v>0</v>
      </c>
      <c r="E1183" s="15">
        <v>150</v>
      </c>
      <c r="F1183" s="15">
        <v>32015</v>
      </c>
      <c r="G1183" s="15">
        <v>0</v>
      </c>
      <c r="H1183" s="15">
        <v>0</v>
      </c>
      <c r="I1183" s="15">
        <v>0</v>
      </c>
    </row>
    <row r="1184" spans="2:9" x14ac:dyDescent="0.3">
      <c r="B1184" s="14" t="s">
        <v>15</v>
      </c>
      <c r="C1184" s="15">
        <v>900</v>
      </c>
      <c r="D1184" s="15">
        <v>228375</v>
      </c>
      <c r="E1184" s="15">
        <v>0</v>
      </c>
      <c r="F1184" s="15">
        <v>0</v>
      </c>
      <c r="G1184" s="15">
        <v>0</v>
      </c>
      <c r="H1184" s="15">
        <v>1000</v>
      </c>
      <c r="I1184" s="15">
        <v>0</v>
      </c>
    </row>
    <row r="1185" spans="2:9" x14ac:dyDescent="0.3">
      <c r="B1185" s="14" t="s">
        <v>16</v>
      </c>
      <c r="C1185" s="15">
        <v>29650</v>
      </c>
      <c r="D1185" s="15">
        <v>12097250</v>
      </c>
      <c r="E1185" s="15">
        <v>1880</v>
      </c>
      <c r="F1185" s="15">
        <v>805960</v>
      </c>
      <c r="G1185" s="15">
        <v>0</v>
      </c>
      <c r="H1185" s="15">
        <v>34500</v>
      </c>
      <c r="I1185" s="15">
        <v>0</v>
      </c>
    </row>
    <row r="1186" spans="2:9" x14ac:dyDescent="0.3">
      <c r="B1186" s="14" t="s">
        <v>17</v>
      </c>
      <c r="C1186" s="15">
        <v>600</v>
      </c>
      <c r="D1186" s="15">
        <v>8940</v>
      </c>
      <c r="E1186" s="15">
        <v>4800</v>
      </c>
      <c r="F1186" s="15">
        <v>54745</v>
      </c>
      <c r="G1186" s="15">
        <v>24885</v>
      </c>
      <c r="H1186" s="15">
        <v>0</v>
      </c>
      <c r="I1186" s="15">
        <v>0</v>
      </c>
    </row>
    <row r="1187" spans="2:9" x14ac:dyDescent="0.3">
      <c r="B1187" s="14" t="s">
        <v>18</v>
      </c>
      <c r="C1187" s="15">
        <v>239271</v>
      </c>
      <c r="D1187" s="15">
        <v>92244945</v>
      </c>
      <c r="E1187" s="15">
        <v>83049</v>
      </c>
      <c r="F1187" s="15">
        <v>22170253</v>
      </c>
      <c r="G1187" s="15">
        <v>10909524</v>
      </c>
      <c r="H1187" s="15">
        <v>202000</v>
      </c>
      <c r="I1187" s="15">
        <v>20000</v>
      </c>
    </row>
    <row r="1188" spans="2:9" x14ac:dyDescent="0.3">
      <c r="B1188" s="14" t="s">
        <v>19</v>
      </c>
      <c r="C1188" s="15">
        <v>2135</v>
      </c>
      <c r="D1188" s="15">
        <v>991385</v>
      </c>
      <c r="E1188" s="15">
        <v>685</v>
      </c>
      <c r="F1188" s="15">
        <v>327727</v>
      </c>
      <c r="G1188" s="15">
        <v>0</v>
      </c>
      <c r="H1188" s="15">
        <v>1600</v>
      </c>
      <c r="I1188" s="15">
        <v>0</v>
      </c>
    </row>
    <row r="1189" spans="2:9" x14ac:dyDescent="0.3">
      <c r="B1189" s="14" t="s">
        <v>20</v>
      </c>
      <c r="C1189" s="15">
        <v>0</v>
      </c>
      <c r="D1189" s="15">
        <v>0</v>
      </c>
      <c r="E1189" s="15">
        <v>0</v>
      </c>
      <c r="F1189" s="15">
        <v>0</v>
      </c>
      <c r="G1189" s="15">
        <v>0</v>
      </c>
      <c r="H1189" s="15">
        <v>1000000</v>
      </c>
      <c r="I1189" s="15">
        <v>90883750</v>
      </c>
    </row>
    <row r="1190" spans="2:9" x14ac:dyDescent="0.3">
      <c r="B1190" s="14" t="s">
        <v>24</v>
      </c>
      <c r="C1190" s="15">
        <v>120</v>
      </c>
      <c r="D1190" s="15">
        <v>10420</v>
      </c>
      <c r="E1190" s="15">
        <v>1100</v>
      </c>
      <c r="F1190" s="15">
        <v>91955</v>
      </c>
      <c r="G1190" s="15">
        <v>14520</v>
      </c>
      <c r="H1190" s="15">
        <v>0</v>
      </c>
      <c r="I1190" s="15">
        <v>1000</v>
      </c>
    </row>
    <row r="1191" spans="2:9" x14ac:dyDescent="0.3">
      <c r="B1191" s="14" t="s">
        <v>25</v>
      </c>
      <c r="C1191" s="15">
        <v>2898</v>
      </c>
      <c r="D1191" s="15">
        <v>217845</v>
      </c>
      <c r="E1191" s="15">
        <v>11232</v>
      </c>
      <c r="F1191" s="15">
        <v>671790</v>
      </c>
      <c r="G1191" s="15">
        <v>274266</v>
      </c>
      <c r="H1191" s="15">
        <v>0</v>
      </c>
      <c r="I1191" s="15">
        <v>8070</v>
      </c>
    </row>
    <row r="1192" spans="2:9" x14ac:dyDescent="0.3">
      <c r="B1192" s="14" t="s">
        <v>26</v>
      </c>
      <c r="C1192" s="15">
        <v>20830</v>
      </c>
      <c r="D1192" s="15">
        <v>62490</v>
      </c>
      <c r="E1192" s="15">
        <v>36600</v>
      </c>
      <c r="F1192" s="15">
        <v>146030</v>
      </c>
      <c r="G1192" s="15">
        <v>0</v>
      </c>
      <c r="H1192" s="15">
        <v>0</v>
      </c>
      <c r="I1192" s="15">
        <v>15000</v>
      </c>
    </row>
    <row r="1193" spans="2:9" x14ac:dyDescent="0.3">
      <c r="B1193" s="14" t="s">
        <v>27</v>
      </c>
      <c r="C1193" s="15">
        <v>0</v>
      </c>
      <c r="D1193" s="15">
        <v>0</v>
      </c>
      <c r="E1193" s="15">
        <v>15800</v>
      </c>
      <c r="F1193" s="15">
        <v>251400</v>
      </c>
      <c r="G1193" s="15">
        <v>0</v>
      </c>
      <c r="H1193" s="15">
        <v>0</v>
      </c>
      <c r="I1193" s="15">
        <v>14000</v>
      </c>
    </row>
    <row r="1194" spans="2:9" x14ac:dyDescent="0.3">
      <c r="B1194" s="14" t="s">
        <v>28</v>
      </c>
      <c r="C1194" s="15">
        <v>1271</v>
      </c>
      <c r="D1194" s="15">
        <v>439695</v>
      </c>
      <c r="E1194" s="15">
        <v>4423</v>
      </c>
      <c r="F1194" s="15">
        <v>1593235</v>
      </c>
      <c r="G1194" s="15">
        <v>0</v>
      </c>
      <c r="H1194" s="15">
        <v>1000</v>
      </c>
      <c r="I1194" s="15">
        <v>2500</v>
      </c>
    </row>
    <row r="1195" spans="2:9" ht="15.6" x14ac:dyDescent="0.3">
      <c r="B1195" s="16" t="s">
        <v>29</v>
      </c>
      <c r="C1195" s="16"/>
      <c r="D1195" s="17">
        <f>SUM(D1183:D1194)</f>
        <v>106301345</v>
      </c>
      <c r="E1195" s="18"/>
      <c r="F1195" s="17">
        <f>SUM(F1183:F1194)</f>
        <v>26145110</v>
      </c>
      <c r="G1195" s="17">
        <f>SUM(G1183:G1194)</f>
        <v>11223195</v>
      </c>
      <c r="H1195" s="19"/>
      <c r="I1195" s="19"/>
    </row>
    <row r="1197" spans="2:9" ht="15.6" x14ac:dyDescent="0.3">
      <c r="B1197" s="13" t="s">
        <v>107</v>
      </c>
      <c r="C1197" s="13"/>
      <c r="D1197" s="13"/>
    </row>
    <row r="1198" spans="2:9" x14ac:dyDescent="0.3">
      <c r="B1198" s="14" t="s">
        <v>14</v>
      </c>
      <c r="C1198" s="15">
        <v>0</v>
      </c>
      <c r="D1198" s="15">
        <v>0</v>
      </c>
      <c r="E1198" s="15">
        <v>710</v>
      </c>
      <c r="F1198" s="15">
        <v>152608</v>
      </c>
      <c r="G1198" s="15">
        <v>0</v>
      </c>
      <c r="H1198" s="15">
        <v>0</v>
      </c>
      <c r="I1198" s="15">
        <v>800</v>
      </c>
    </row>
    <row r="1199" spans="2:9" x14ac:dyDescent="0.3">
      <c r="B1199" s="14" t="s">
        <v>15</v>
      </c>
      <c r="C1199" s="15">
        <v>0</v>
      </c>
      <c r="D1199" s="15">
        <v>0</v>
      </c>
      <c r="E1199" s="15">
        <v>140</v>
      </c>
      <c r="F1199" s="15">
        <v>37350</v>
      </c>
      <c r="G1199" s="15">
        <v>0</v>
      </c>
      <c r="H1199" s="15">
        <v>0</v>
      </c>
      <c r="I1199" s="15">
        <v>0</v>
      </c>
    </row>
    <row r="1200" spans="2:9" x14ac:dyDescent="0.3">
      <c r="B1200" s="14" t="s">
        <v>16</v>
      </c>
      <c r="C1200" s="15">
        <v>20750</v>
      </c>
      <c r="D1200" s="15">
        <v>8569456</v>
      </c>
      <c r="E1200" s="15">
        <v>1750</v>
      </c>
      <c r="F1200" s="15">
        <v>740920</v>
      </c>
      <c r="G1200" s="15">
        <v>0</v>
      </c>
      <c r="H1200" s="15">
        <v>20500</v>
      </c>
      <c r="I1200" s="15">
        <v>0</v>
      </c>
    </row>
    <row r="1201" spans="2:9" x14ac:dyDescent="0.3">
      <c r="B1201" s="14" t="s">
        <v>17</v>
      </c>
      <c r="C1201" s="15">
        <v>900</v>
      </c>
      <c r="D1201" s="15">
        <v>13680</v>
      </c>
      <c r="E1201" s="15">
        <v>9800</v>
      </c>
      <c r="F1201" s="15">
        <v>164540</v>
      </c>
      <c r="G1201" s="15">
        <v>0</v>
      </c>
      <c r="H1201" s="15">
        <v>0</v>
      </c>
      <c r="I1201" s="15">
        <v>0</v>
      </c>
    </row>
    <row r="1202" spans="2:9" x14ac:dyDescent="0.3">
      <c r="B1202" s="14" t="s">
        <v>18</v>
      </c>
      <c r="C1202" s="15">
        <v>285156</v>
      </c>
      <c r="D1202" s="15">
        <v>111310365</v>
      </c>
      <c r="E1202" s="15">
        <v>106915</v>
      </c>
      <c r="F1202" s="15">
        <v>42283932</v>
      </c>
      <c r="G1202" s="15">
        <v>0</v>
      </c>
      <c r="H1202" s="15">
        <v>183100</v>
      </c>
      <c r="I1202" s="15">
        <v>0</v>
      </c>
    </row>
    <row r="1203" spans="2:9" x14ac:dyDescent="0.3">
      <c r="B1203" s="14" t="s">
        <v>19</v>
      </c>
      <c r="C1203" s="15">
        <v>6895</v>
      </c>
      <c r="D1203" s="15">
        <v>3196399</v>
      </c>
      <c r="E1203" s="15">
        <v>3685</v>
      </c>
      <c r="F1203" s="15">
        <v>1742410</v>
      </c>
      <c r="G1203" s="15">
        <v>0</v>
      </c>
      <c r="H1203" s="15">
        <v>5550</v>
      </c>
      <c r="I1203" s="15">
        <v>1000</v>
      </c>
    </row>
    <row r="1204" spans="2:9" x14ac:dyDescent="0.3">
      <c r="B1204" s="14" t="s">
        <v>20</v>
      </c>
      <c r="C1204" s="15">
        <v>0</v>
      </c>
      <c r="D1204" s="15">
        <v>0</v>
      </c>
      <c r="E1204" s="15">
        <v>0</v>
      </c>
      <c r="F1204" s="15">
        <v>0</v>
      </c>
      <c r="G1204" s="15">
        <v>0</v>
      </c>
      <c r="H1204" s="15">
        <v>2000000</v>
      </c>
      <c r="I1204" s="15">
        <v>89616250</v>
      </c>
    </row>
    <row r="1205" spans="2:9" x14ac:dyDescent="0.3">
      <c r="B1205" s="14" t="s">
        <v>24</v>
      </c>
      <c r="C1205" s="15">
        <v>0</v>
      </c>
      <c r="D1205" s="15">
        <v>0</v>
      </c>
      <c r="E1205" s="15">
        <v>2900</v>
      </c>
      <c r="F1205" s="15">
        <v>280147</v>
      </c>
      <c r="G1205" s="15">
        <v>0</v>
      </c>
      <c r="H1205" s="15">
        <v>0</v>
      </c>
      <c r="I1205" s="15">
        <v>1000</v>
      </c>
    </row>
    <row r="1206" spans="2:9" x14ac:dyDescent="0.3">
      <c r="B1206" s="14" t="s">
        <v>25</v>
      </c>
      <c r="C1206" s="15">
        <v>2481</v>
      </c>
      <c r="D1206" s="15">
        <v>190565</v>
      </c>
      <c r="E1206" s="15">
        <v>18496</v>
      </c>
      <c r="F1206" s="15">
        <v>1495154</v>
      </c>
      <c r="G1206" s="15">
        <v>0</v>
      </c>
      <c r="H1206" s="15">
        <v>0</v>
      </c>
      <c r="I1206" s="15">
        <v>14000</v>
      </c>
    </row>
    <row r="1207" spans="2:9" x14ac:dyDescent="0.3">
      <c r="B1207" s="14" t="s">
        <v>26</v>
      </c>
      <c r="C1207" s="15">
        <v>19480</v>
      </c>
      <c r="D1207" s="15">
        <v>58440</v>
      </c>
      <c r="E1207" s="15">
        <v>0</v>
      </c>
      <c r="F1207" s="15">
        <v>0</v>
      </c>
      <c r="G1207" s="15">
        <v>0</v>
      </c>
      <c r="H1207" s="15">
        <v>0</v>
      </c>
      <c r="I1207" s="15">
        <v>20000</v>
      </c>
    </row>
    <row r="1208" spans="2:9" x14ac:dyDescent="0.3">
      <c r="B1208" s="14" t="s">
        <v>27</v>
      </c>
      <c r="C1208" s="15">
        <v>3480</v>
      </c>
      <c r="D1208" s="15">
        <v>34105</v>
      </c>
      <c r="E1208" s="15">
        <v>7225</v>
      </c>
      <c r="F1208" s="15">
        <v>96416</v>
      </c>
      <c r="G1208" s="15">
        <v>0</v>
      </c>
      <c r="H1208" s="15">
        <v>0</v>
      </c>
      <c r="I1208" s="15">
        <v>0</v>
      </c>
    </row>
    <row r="1209" spans="2:9" x14ac:dyDescent="0.3">
      <c r="B1209" s="14" t="s">
        <v>28</v>
      </c>
      <c r="C1209" s="15">
        <v>18218</v>
      </c>
      <c r="D1209" s="15">
        <v>6405355</v>
      </c>
      <c r="E1209" s="15">
        <v>5948</v>
      </c>
      <c r="F1209" s="15">
        <v>2120408</v>
      </c>
      <c r="G1209" s="15">
        <v>0</v>
      </c>
      <c r="H1209" s="15">
        <v>16000</v>
      </c>
      <c r="I1209" s="15">
        <v>2000</v>
      </c>
    </row>
    <row r="1210" spans="2:9" ht="15.6" x14ac:dyDescent="0.3">
      <c r="B1210" s="16" t="s">
        <v>29</v>
      </c>
      <c r="C1210" s="16"/>
      <c r="D1210" s="17">
        <f>SUM(D1198:D1209)</f>
        <v>129778365</v>
      </c>
      <c r="E1210" s="18"/>
      <c r="F1210" s="17">
        <f>SUM(F1198:F1209)</f>
        <v>49113885</v>
      </c>
      <c r="G1210" s="17">
        <f>SUM(G1198:G1209)</f>
        <v>0</v>
      </c>
      <c r="H1210" s="19"/>
      <c r="I1210" s="19"/>
    </row>
    <row r="1212" spans="2:9" ht="15.6" x14ac:dyDescent="0.3">
      <c r="B1212" s="13" t="s">
        <v>108</v>
      </c>
      <c r="C1212" s="13"/>
      <c r="D1212" s="13"/>
    </row>
    <row r="1213" spans="2:9" x14ac:dyDescent="0.3">
      <c r="B1213" s="14" t="s">
        <v>13</v>
      </c>
      <c r="C1213" s="15">
        <v>0</v>
      </c>
      <c r="D1213" s="15">
        <v>0</v>
      </c>
      <c r="E1213" s="15">
        <v>0</v>
      </c>
      <c r="F1213" s="15">
        <v>0</v>
      </c>
      <c r="G1213" s="15">
        <v>0</v>
      </c>
      <c r="H1213" s="15">
        <v>0</v>
      </c>
      <c r="I1213" s="15">
        <v>200</v>
      </c>
    </row>
    <row r="1214" spans="2:9" x14ac:dyDescent="0.3">
      <c r="B1214" s="14" t="s">
        <v>14</v>
      </c>
      <c r="C1214" s="15">
        <v>0</v>
      </c>
      <c r="D1214" s="15">
        <v>0</v>
      </c>
      <c r="E1214" s="15">
        <v>0</v>
      </c>
      <c r="F1214" s="15">
        <v>0</v>
      </c>
      <c r="G1214" s="15">
        <v>0</v>
      </c>
      <c r="H1214" s="15">
        <v>5500</v>
      </c>
      <c r="I1214" s="15">
        <v>10000</v>
      </c>
    </row>
    <row r="1215" spans="2:9" x14ac:dyDescent="0.3">
      <c r="B1215" s="14" t="s">
        <v>15</v>
      </c>
      <c r="C1215" s="15">
        <v>0</v>
      </c>
      <c r="D1215" s="15">
        <v>0</v>
      </c>
      <c r="E1215" s="15">
        <v>0</v>
      </c>
      <c r="F1215" s="15">
        <v>0</v>
      </c>
      <c r="G1215" s="15">
        <v>0</v>
      </c>
      <c r="H1215" s="15">
        <v>5000</v>
      </c>
      <c r="I1215" s="15">
        <v>5000</v>
      </c>
    </row>
    <row r="1216" spans="2:9" x14ac:dyDescent="0.3">
      <c r="B1216" s="14" t="s">
        <v>16</v>
      </c>
      <c r="C1216" s="15">
        <v>0</v>
      </c>
      <c r="D1216" s="15">
        <v>0</v>
      </c>
      <c r="E1216" s="15">
        <v>0</v>
      </c>
      <c r="F1216" s="15">
        <v>0</v>
      </c>
      <c r="G1216" s="15">
        <v>0</v>
      </c>
      <c r="H1216" s="15">
        <v>180000</v>
      </c>
      <c r="I1216" s="15">
        <v>187500</v>
      </c>
    </row>
    <row r="1217" spans="2:9" x14ac:dyDescent="0.3">
      <c r="B1217" s="14" t="s">
        <v>17</v>
      </c>
      <c r="C1217" s="15">
        <v>0</v>
      </c>
      <c r="D1217" s="15">
        <v>0</v>
      </c>
      <c r="E1217" s="15">
        <v>0</v>
      </c>
      <c r="F1217" s="15">
        <v>0</v>
      </c>
      <c r="G1217" s="15">
        <v>0</v>
      </c>
      <c r="H1217" s="15">
        <v>115000</v>
      </c>
      <c r="I1217" s="15">
        <v>140000</v>
      </c>
    </row>
    <row r="1218" spans="2:9" x14ac:dyDescent="0.3">
      <c r="B1218" s="14" t="s">
        <v>18</v>
      </c>
      <c r="C1218" s="15">
        <v>0</v>
      </c>
      <c r="D1218" s="15">
        <v>0</v>
      </c>
      <c r="E1218" s="15">
        <v>0</v>
      </c>
      <c r="F1218" s="15">
        <v>0</v>
      </c>
      <c r="G1218" s="15">
        <v>0</v>
      </c>
      <c r="H1218" s="15">
        <v>1174950</v>
      </c>
      <c r="I1218" s="15">
        <v>1259000</v>
      </c>
    </row>
    <row r="1219" spans="2:9" x14ac:dyDescent="0.3">
      <c r="B1219" s="14" t="s">
        <v>19</v>
      </c>
      <c r="C1219" s="15">
        <v>0</v>
      </c>
      <c r="D1219" s="15">
        <v>0</v>
      </c>
      <c r="E1219" s="15">
        <v>0</v>
      </c>
      <c r="F1219" s="15">
        <v>0</v>
      </c>
      <c r="G1219" s="15">
        <v>0</v>
      </c>
      <c r="H1219" s="15">
        <v>28000</v>
      </c>
      <c r="I1219" s="15">
        <v>31650</v>
      </c>
    </row>
    <row r="1220" spans="2:9" x14ac:dyDescent="0.3">
      <c r="B1220" s="14" t="s">
        <v>20</v>
      </c>
      <c r="C1220" s="15">
        <v>0</v>
      </c>
      <c r="D1220" s="15">
        <v>0</v>
      </c>
      <c r="E1220" s="15">
        <v>0</v>
      </c>
      <c r="F1220" s="15">
        <v>0</v>
      </c>
      <c r="G1220" s="15">
        <v>0</v>
      </c>
      <c r="H1220" s="15">
        <v>663627080</v>
      </c>
      <c r="I1220" s="15">
        <v>624079435</v>
      </c>
    </row>
    <row r="1221" spans="2:9" x14ac:dyDescent="0.3">
      <c r="B1221" s="14" t="s">
        <v>24</v>
      </c>
      <c r="C1221" s="15">
        <v>0</v>
      </c>
      <c r="D1221" s="15">
        <v>0</v>
      </c>
      <c r="E1221" s="15">
        <v>0</v>
      </c>
      <c r="F1221" s="15">
        <v>0</v>
      </c>
      <c r="G1221" s="15">
        <v>0</v>
      </c>
      <c r="H1221" s="15">
        <v>28000</v>
      </c>
      <c r="I1221" s="15">
        <v>21000</v>
      </c>
    </row>
    <row r="1222" spans="2:9" x14ac:dyDescent="0.3">
      <c r="B1222" s="14" t="s">
        <v>25</v>
      </c>
      <c r="C1222" s="15">
        <v>0</v>
      </c>
      <c r="D1222" s="15">
        <v>0</v>
      </c>
      <c r="E1222" s="15">
        <v>0</v>
      </c>
      <c r="F1222" s="15">
        <v>0</v>
      </c>
      <c r="G1222" s="15">
        <v>0</v>
      </c>
      <c r="H1222" s="15">
        <v>102070</v>
      </c>
      <c r="I1222" s="15">
        <v>82000</v>
      </c>
    </row>
    <row r="1223" spans="2:9" x14ac:dyDescent="0.3">
      <c r="B1223" s="14" t="s">
        <v>26</v>
      </c>
      <c r="C1223" s="15">
        <v>0</v>
      </c>
      <c r="D1223" s="15">
        <v>0</v>
      </c>
      <c r="E1223" s="15">
        <v>0</v>
      </c>
      <c r="F1223" s="15">
        <v>0</v>
      </c>
      <c r="G1223" s="15">
        <v>0</v>
      </c>
      <c r="H1223" s="15">
        <v>55000</v>
      </c>
      <c r="I1223" s="15">
        <v>55000</v>
      </c>
    </row>
    <row r="1224" spans="2:9" x14ac:dyDescent="0.3">
      <c r="B1224" s="14" t="s">
        <v>27</v>
      </c>
      <c r="C1224" s="15">
        <v>0</v>
      </c>
      <c r="D1224" s="15">
        <v>0</v>
      </c>
      <c r="E1224" s="15">
        <v>0</v>
      </c>
      <c r="F1224" s="15">
        <v>0</v>
      </c>
      <c r="G1224" s="15">
        <v>0</v>
      </c>
      <c r="H1224" s="15">
        <v>82000</v>
      </c>
      <c r="I1224" s="15">
        <v>106000</v>
      </c>
    </row>
    <row r="1225" spans="2:9" x14ac:dyDescent="0.3">
      <c r="B1225" s="14" t="s">
        <v>28</v>
      </c>
      <c r="C1225" s="15">
        <v>0</v>
      </c>
      <c r="D1225" s="15">
        <v>0</v>
      </c>
      <c r="E1225" s="15">
        <v>0</v>
      </c>
      <c r="F1225" s="15">
        <v>0</v>
      </c>
      <c r="G1225" s="15">
        <v>0</v>
      </c>
      <c r="H1225" s="15">
        <v>68200</v>
      </c>
      <c r="I1225" s="15">
        <v>69200</v>
      </c>
    </row>
    <row r="1226" spans="2:9" ht="15.6" x14ac:dyDescent="0.3">
      <c r="B1226" s="16" t="s">
        <v>29</v>
      </c>
      <c r="C1226" s="16"/>
      <c r="D1226" s="17">
        <f>SUM(D1213:D1225)</f>
        <v>0</v>
      </c>
      <c r="E1226" s="18"/>
      <c r="F1226" s="17">
        <f>SUM(F1213:F1225)</f>
        <v>0</v>
      </c>
      <c r="G1226" s="17">
        <f>SUM(G1213:G1225)</f>
        <v>0</v>
      </c>
      <c r="H1226" s="19"/>
      <c r="I1226" s="19"/>
    </row>
    <row r="1228" spans="2:9" ht="15.6" x14ac:dyDescent="0.3">
      <c r="B1228" s="13" t="s">
        <v>109</v>
      </c>
      <c r="C1228" s="13"/>
      <c r="D1228" s="13"/>
    </row>
    <row r="1229" spans="2:9" x14ac:dyDescent="0.3">
      <c r="B1229" s="14" t="s">
        <v>12</v>
      </c>
      <c r="C1229" s="15">
        <v>0</v>
      </c>
      <c r="D1229" s="15">
        <v>0</v>
      </c>
      <c r="E1229" s="15">
        <v>100</v>
      </c>
      <c r="F1229" s="15">
        <v>0</v>
      </c>
      <c r="G1229" s="15">
        <v>25397</v>
      </c>
      <c r="H1229" s="15">
        <v>0</v>
      </c>
      <c r="I1229" s="15">
        <v>0</v>
      </c>
    </row>
    <row r="1230" spans="2:9" x14ac:dyDescent="0.3">
      <c r="B1230" s="14" t="s">
        <v>13</v>
      </c>
      <c r="C1230" s="15">
        <v>130</v>
      </c>
      <c r="D1230" s="15">
        <v>24205</v>
      </c>
      <c r="E1230" s="15">
        <v>0</v>
      </c>
      <c r="F1230" s="15">
        <v>0</v>
      </c>
      <c r="G1230" s="15">
        <v>0</v>
      </c>
      <c r="H1230" s="15">
        <v>0</v>
      </c>
      <c r="I1230" s="15">
        <v>0</v>
      </c>
    </row>
    <row r="1231" spans="2:9" x14ac:dyDescent="0.3">
      <c r="B1231" s="14" t="s">
        <v>14</v>
      </c>
      <c r="C1231" s="15">
        <v>170</v>
      </c>
      <c r="D1231" s="15">
        <v>32545</v>
      </c>
      <c r="E1231" s="15">
        <v>1355</v>
      </c>
      <c r="F1231" s="15">
        <v>268075</v>
      </c>
      <c r="G1231" s="15">
        <v>21425</v>
      </c>
      <c r="H1231" s="15">
        <v>0</v>
      </c>
      <c r="I1231" s="15">
        <v>600</v>
      </c>
    </row>
    <row r="1232" spans="2:9" x14ac:dyDescent="0.3">
      <c r="B1232" s="14" t="s">
        <v>15</v>
      </c>
      <c r="C1232" s="15">
        <v>1950</v>
      </c>
      <c r="D1232" s="15">
        <v>496630</v>
      </c>
      <c r="E1232" s="15">
        <v>5</v>
      </c>
      <c r="F1232" s="15">
        <v>0</v>
      </c>
      <c r="G1232" s="15">
        <v>1359</v>
      </c>
      <c r="H1232" s="15">
        <v>2000</v>
      </c>
      <c r="I1232" s="15">
        <v>0</v>
      </c>
    </row>
    <row r="1233" spans="2:9" x14ac:dyDescent="0.3">
      <c r="B1233" s="14" t="s">
        <v>16</v>
      </c>
      <c r="C1233" s="15">
        <v>8240</v>
      </c>
      <c r="D1233" s="15">
        <v>3392465</v>
      </c>
      <c r="E1233" s="15">
        <v>350</v>
      </c>
      <c r="F1233" s="15">
        <v>148960</v>
      </c>
      <c r="G1233" s="15">
        <v>0</v>
      </c>
      <c r="H1233" s="15">
        <v>6000</v>
      </c>
      <c r="I1233" s="15">
        <v>0</v>
      </c>
    </row>
    <row r="1234" spans="2:9" x14ac:dyDescent="0.3">
      <c r="B1234" s="14" t="s">
        <v>17</v>
      </c>
      <c r="C1234" s="15">
        <v>6800</v>
      </c>
      <c r="D1234" s="15">
        <v>96170</v>
      </c>
      <c r="E1234" s="15">
        <v>40000</v>
      </c>
      <c r="F1234" s="15">
        <v>513025</v>
      </c>
      <c r="G1234" s="15">
        <v>198210</v>
      </c>
      <c r="H1234" s="15">
        <v>0</v>
      </c>
      <c r="I1234" s="15">
        <v>25000</v>
      </c>
    </row>
    <row r="1235" spans="2:9" x14ac:dyDescent="0.3">
      <c r="B1235" s="14" t="s">
        <v>18</v>
      </c>
      <c r="C1235" s="15">
        <v>150584</v>
      </c>
      <c r="D1235" s="15">
        <v>58126727</v>
      </c>
      <c r="E1235" s="15">
        <v>73138</v>
      </c>
      <c r="F1235" s="15">
        <v>24217825</v>
      </c>
      <c r="G1235" s="15">
        <v>4957323</v>
      </c>
      <c r="H1235" s="15">
        <v>60000</v>
      </c>
      <c r="I1235" s="15">
        <v>150</v>
      </c>
    </row>
    <row r="1236" spans="2:9" x14ac:dyDescent="0.3">
      <c r="B1236" s="14" t="s">
        <v>19</v>
      </c>
      <c r="C1236" s="15">
        <v>790</v>
      </c>
      <c r="D1236" s="15">
        <v>362995</v>
      </c>
      <c r="E1236" s="15">
        <v>670</v>
      </c>
      <c r="F1236" s="15">
        <v>212300</v>
      </c>
      <c r="G1236" s="15">
        <v>109905</v>
      </c>
      <c r="H1236" s="15">
        <v>0</v>
      </c>
      <c r="I1236" s="15">
        <v>0</v>
      </c>
    </row>
    <row r="1237" spans="2:9" x14ac:dyDescent="0.3">
      <c r="B1237" s="14" t="s">
        <v>20</v>
      </c>
      <c r="C1237" s="15">
        <v>0</v>
      </c>
      <c r="D1237" s="15">
        <v>0</v>
      </c>
      <c r="E1237" s="15">
        <v>0</v>
      </c>
      <c r="F1237" s="15">
        <v>0</v>
      </c>
      <c r="G1237" s="15">
        <v>0</v>
      </c>
      <c r="H1237" s="15">
        <v>2500000</v>
      </c>
      <c r="I1237" s="15">
        <v>28864190</v>
      </c>
    </row>
    <row r="1238" spans="2:9" x14ac:dyDescent="0.3">
      <c r="B1238" s="14" t="s">
        <v>22</v>
      </c>
      <c r="C1238" s="15">
        <v>5000</v>
      </c>
      <c r="D1238" s="15">
        <v>12200</v>
      </c>
      <c r="E1238" s="15">
        <v>1000</v>
      </c>
      <c r="F1238" s="15">
        <v>0</v>
      </c>
      <c r="G1238" s="15">
        <v>2653</v>
      </c>
      <c r="H1238" s="15">
        <v>0</v>
      </c>
      <c r="I1238" s="15">
        <v>0</v>
      </c>
    </row>
    <row r="1239" spans="2:9" x14ac:dyDescent="0.3">
      <c r="B1239" s="14" t="s">
        <v>24</v>
      </c>
      <c r="C1239" s="15">
        <v>8210</v>
      </c>
      <c r="D1239" s="15">
        <v>694196</v>
      </c>
      <c r="E1239" s="15">
        <v>5970</v>
      </c>
      <c r="F1239" s="15">
        <v>526525</v>
      </c>
      <c r="G1239" s="15">
        <v>48965</v>
      </c>
      <c r="H1239" s="15">
        <v>6000</v>
      </c>
      <c r="I1239" s="15">
        <v>1000</v>
      </c>
    </row>
    <row r="1240" spans="2:9" x14ac:dyDescent="0.3">
      <c r="B1240" s="14" t="s">
        <v>25</v>
      </c>
      <c r="C1240" s="15">
        <v>4457</v>
      </c>
      <c r="D1240" s="15">
        <v>328843</v>
      </c>
      <c r="E1240" s="15">
        <v>18274</v>
      </c>
      <c r="F1240" s="15">
        <v>1101185</v>
      </c>
      <c r="G1240" s="15">
        <v>463837</v>
      </c>
      <c r="H1240" s="15">
        <v>0</v>
      </c>
      <c r="I1240" s="15">
        <v>10000</v>
      </c>
    </row>
    <row r="1241" spans="2:9" x14ac:dyDescent="0.3">
      <c r="B1241" s="14" t="s">
        <v>26</v>
      </c>
      <c r="C1241" s="15">
        <v>40520</v>
      </c>
      <c r="D1241" s="15">
        <v>121835</v>
      </c>
      <c r="E1241" s="15">
        <v>20550</v>
      </c>
      <c r="F1241" s="15">
        <v>61870</v>
      </c>
      <c r="G1241" s="15">
        <v>16890</v>
      </c>
      <c r="H1241" s="15">
        <v>40000</v>
      </c>
      <c r="I1241" s="15">
        <v>0</v>
      </c>
    </row>
    <row r="1242" spans="2:9" x14ac:dyDescent="0.3">
      <c r="B1242" s="14" t="s">
        <v>38</v>
      </c>
      <c r="C1242" s="15">
        <v>0</v>
      </c>
      <c r="D1242" s="15">
        <v>0</v>
      </c>
      <c r="E1242" s="15">
        <v>2500</v>
      </c>
      <c r="F1242" s="15">
        <v>35000</v>
      </c>
      <c r="G1242" s="15">
        <v>0</v>
      </c>
      <c r="H1242" s="15">
        <v>0</v>
      </c>
      <c r="I1242" s="15">
        <v>0</v>
      </c>
    </row>
    <row r="1243" spans="2:9" x14ac:dyDescent="0.3">
      <c r="B1243" s="14" t="s">
        <v>27</v>
      </c>
      <c r="C1243" s="15">
        <v>65</v>
      </c>
      <c r="D1243" s="15">
        <v>644</v>
      </c>
      <c r="E1243" s="15">
        <v>32500</v>
      </c>
      <c r="F1243" s="15">
        <v>363245</v>
      </c>
      <c r="G1243" s="15">
        <v>0</v>
      </c>
      <c r="H1243" s="15">
        <v>0</v>
      </c>
      <c r="I1243" s="15">
        <v>31000</v>
      </c>
    </row>
    <row r="1244" spans="2:9" x14ac:dyDescent="0.3">
      <c r="B1244" s="14" t="s">
        <v>28</v>
      </c>
      <c r="C1244" s="15">
        <v>7722</v>
      </c>
      <c r="D1244" s="15">
        <v>2669340</v>
      </c>
      <c r="E1244" s="15">
        <v>15318</v>
      </c>
      <c r="F1244" s="15">
        <v>4192210</v>
      </c>
      <c r="G1244" s="15">
        <v>1332881</v>
      </c>
      <c r="H1244" s="15">
        <v>500</v>
      </c>
      <c r="I1244" s="15">
        <v>8800</v>
      </c>
    </row>
    <row r="1245" spans="2:9" ht="15.6" x14ac:dyDescent="0.3">
      <c r="B1245" s="16" t="s">
        <v>29</v>
      </c>
      <c r="C1245" s="16"/>
      <c r="D1245" s="17">
        <f>SUM(D1229:D1244)</f>
        <v>66358795</v>
      </c>
      <c r="E1245" s="18"/>
      <c r="F1245" s="17">
        <f>SUM(F1229:F1244)</f>
        <v>31640220</v>
      </c>
      <c r="G1245" s="17">
        <f>SUM(G1229:G1244)</f>
        <v>7178845</v>
      </c>
      <c r="H1245" s="19"/>
      <c r="I1245" s="19"/>
    </row>
    <row r="1247" spans="2:9" ht="15.6" x14ac:dyDescent="0.3">
      <c r="B1247" s="13" t="s">
        <v>110</v>
      </c>
      <c r="C1247" s="13"/>
      <c r="D1247" s="13"/>
    </row>
    <row r="1248" spans="2:9" x14ac:dyDescent="0.3">
      <c r="B1248" s="14" t="s">
        <v>14</v>
      </c>
      <c r="C1248" s="15">
        <v>167</v>
      </c>
      <c r="D1248" s="15">
        <v>31844</v>
      </c>
      <c r="E1248" s="15">
        <v>0</v>
      </c>
      <c r="F1248" s="15">
        <v>0</v>
      </c>
      <c r="G1248" s="15">
        <v>0</v>
      </c>
      <c r="H1248" s="15">
        <v>0</v>
      </c>
      <c r="I1248" s="15">
        <v>500</v>
      </c>
    </row>
    <row r="1249" spans="2:9" x14ac:dyDescent="0.3">
      <c r="B1249" s="14" t="s">
        <v>15</v>
      </c>
      <c r="C1249" s="15">
        <v>305</v>
      </c>
      <c r="D1249" s="15">
        <v>75950</v>
      </c>
      <c r="E1249" s="15">
        <v>0</v>
      </c>
      <c r="F1249" s="15">
        <v>0</v>
      </c>
      <c r="G1249" s="15">
        <v>0</v>
      </c>
      <c r="H1249" s="15">
        <v>1000</v>
      </c>
      <c r="I1249" s="15">
        <v>0</v>
      </c>
    </row>
    <row r="1250" spans="2:9" x14ac:dyDescent="0.3">
      <c r="B1250" s="14" t="s">
        <v>16</v>
      </c>
      <c r="C1250" s="15">
        <v>9110</v>
      </c>
      <c r="D1250" s="15">
        <v>3704980</v>
      </c>
      <c r="E1250" s="15">
        <v>1450</v>
      </c>
      <c r="F1250" s="15">
        <v>621440</v>
      </c>
      <c r="G1250" s="15">
        <v>0</v>
      </c>
      <c r="H1250" s="15">
        <v>9000</v>
      </c>
      <c r="I1250" s="15">
        <v>0</v>
      </c>
    </row>
    <row r="1251" spans="2:9" x14ac:dyDescent="0.3">
      <c r="B1251" s="14" t="s">
        <v>17</v>
      </c>
      <c r="C1251" s="15">
        <v>1200</v>
      </c>
      <c r="D1251" s="15">
        <v>17005</v>
      </c>
      <c r="E1251" s="15">
        <v>19900</v>
      </c>
      <c r="F1251" s="15">
        <v>266977</v>
      </c>
      <c r="G1251" s="15">
        <v>87460</v>
      </c>
      <c r="H1251" s="15">
        <v>0</v>
      </c>
      <c r="I1251" s="15">
        <v>10000</v>
      </c>
    </row>
    <row r="1252" spans="2:9" x14ac:dyDescent="0.3">
      <c r="B1252" s="14" t="s">
        <v>18</v>
      </c>
      <c r="C1252" s="15">
        <v>266822</v>
      </c>
      <c r="D1252" s="15">
        <v>102728250</v>
      </c>
      <c r="E1252" s="15">
        <v>92643</v>
      </c>
      <c r="F1252" s="15">
        <v>28903507</v>
      </c>
      <c r="G1252" s="15">
        <v>8148503</v>
      </c>
      <c r="H1252" s="15">
        <v>180000</v>
      </c>
      <c r="I1252" s="15">
        <v>7500</v>
      </c>
    </row>
    <row r="1253" spans="2:9" x14ac:dyDescent="0.3">
      <c r="B1253" s="14" t="s">
        <v>19</v>
      </c>
      <c r="C1253" s="15">
        <v>4980</v>
      </c>
      <c r="D1253" s="15">
        <v>2303480</v>
      </c>
      <c r="E1253" s="15">
        <v>635</v>
      </c>
      <c r="F1253" s="15">
        <v>240956</v>
      </c>
      <c r="G1253" s="15">
        <v>62220</v>
      </c>
      <c r="H1253" s="15">
        <v>3000</v>
      </c>
      <c r="I1253" s="15">
        <v>1000</v>
      </c>
    </row>
    <row r="1254" spans="2:9" x14ac:dyDescent="0.3">
      <c r="B1254" s="14" t="s">
        <v>20</v>
      </c>
      <c r="C1254" s="15">
        <v>0</v>
      </c>
      <c r="D1254" s="15">
        <v>0</v>
      </c>
      <c r="E1254" s="15">
        <v>0</v>
      </c>
      <c r="F1254" s="15">
        <v>0</v>
      </c>
      <c r="G1254" s="15">
        <v>0</v>
      </c>
      <c r="H1254" s="15">
        <v>715260</v>
      </c>
      <c r="I1254" s="15">
        <v>81384000</v>
      </c>
    </row>
    <row r="1255" spans="2:9" x14ac:dyDescent="0.3">
      <c r="B1255" s="14" t="s">
        <v>24</v>
      </c>
      <c r="C1255" s="15">
        <v>240</v>
      </c>
      <c r="D1255" s="15">
        <v>20380</v>
      </c>
      <c r="E1255" s="15">
        <v>2730</v>
      </c>
      <c r="F1255" s="15">
        <v>120395</v>
      </c>
      <c r="G1255" s="15">
        <v>146415</v>
      </c>
      <c r="H1255" s="15">
        <v>0</v>
      </c>
      <c r="I1255" s="15">
        <v>1000</v>
      </c>
    </row>
    <row r="1256" spans="2:9" x14ac:dyDescent="0.3">
      <c r="B1256" s="14" t="s">
        <v>25</v>
      </c>
      <c r="C1256" s="15">
        <v>7300</v>
      </c>
      <c r="D1256" s="15">
        <v>538110</v>
      </c>
      <c r="E1256" s="15">
        <v>12756</v>
      </c>
      <c r="F1256" s="15">
        <v>661325</v>
      </c>
      <c r="G1256" s="15">
        <v>430060</v>
      </c>
      <c r="H1256" s="15">
        <v>0</v>
      </c>
      <c r="I1256" s="15">
        <v>5000</v>
      </c>
    </row>
    <row r="1257" spans="2:9" x14ac:dyDescent="0.3">
      <c r="B1257" s="14" t="s">
        <v>26</v>
      </c>
      <c r="C1257" s="15">
        <v>3800</v>
      </c>
      <c r="D1257" s="15">
        <v>11400</v>
      </c>
      <c r="E1257" s="15">
        <v>27480</v>
      </c>
      <c r="F1257" s="15">
        <v>88370</v>
      </c>
      <c r="G1257" s="15">
        <v>20001</v>
      </c>
      <c r="H1257" s="15">
        <v>0</v>
      </c>
      <c r="I1257" s="15">
        <v>20000</v>
      </c>
    </row>
    <row r="1258" spans="2:9" x14ac:dyDescent="0.3">
      <c r="B1258" s="14" t="s">
        <v>27</v>
      </c>
      <c r="C1258" s="15">
        <v>5650</v>
      </c>
      <c r="D1258" s="15">
        <v>55370</v>
      </c>
      <c r="E1258" s="15">
        <v>11365</v>
      </c>
      <c r="F1258" s="15">
        <v>158490</v>
      </c>
      <c r="G1258" s="15">
        <v>0</v>
      </c>
      <c r="H1258" s="15">
        <v>5000</v>
      </c>
      <c r="I1258" s="15">
        <v>0</v>
      </c>
    </row>
    <row r="1259" spans="2:9" x14ac:dyDescent="0.3">
      <c r="B1259" s="14" t="s">
        <v>28</v>
      </c>
      <c r="C1259" s="15">
        <v>30663</v>
      </c>
      <c r="D1259" s="15">
        <v>10689746</v>
      </c>
      <c r="E1259" s="15">
        <v>12363</v>
      </c>
      <c r="F1259" s="15">
        <v>2721045</v>
      </c>
      <c r="G1259" s="15">
        <v>1756106</v>
      </c>
      <c r="H1259" s="15">
        <v>22200</v>
      </c>
      <c r="I1259" s="15">
        <v>4500</v>
      </c>
    </row>
    <row r="1260" spans="2:9" ht="15.6" x14ac:dyDescent="0.3">
      <c r="B1260" s="16" t="s">
        <v>29</v>
      </c>
      <c r="C1260" s="16"/>
      <c r="D1260" s="17">
        <f>SUM(D1248:D1259)</f>
        <v>120176515</v>
      </c>
      <c r="E1260" s="18"/>
      <c r="F1260" s="17">
        <f>SUM(F1248:F1259)</f>
        <v>33782505</v>
      </c>
      <c r="G1260" s="17">
        <f>SUM(G1248:G1259)</f>
        <v>10650765</v>
      </c>
      <c r="H1260" s="19"/>
      <c r="I1260" s="19"/>
    </row>
    <row r="1262" spans="2:9" ht="15.6" x14ac:dyDescent="0.3">
      <c r="B1262" s="13" t="s">
        <v>111</v>
      </c>
      <c r="C1262" s="13"/>
      <c r="D1262" s="13"/>
    </row>
    <row r="1263" spans="2:9" x14ac:dyDescent="0.3">
      <c r="B1263" s="14" t="s">
        <v>14</v>
      </c>
      <c r="C1263" s="15">
        <v>0</v>
      </c>
      <c r="D1263" s="15">
        <v>0</v>
      </c>
      <c r="E1263" s="15">
        <v>60</v>
      </c>
      <c r="F1263" s="15">
        <v>12865</v>
      </c>
      <c r="G1263" s="15">
        <v>0</v>
      </c>
      <c r="H1263" s="15">
        <v>0</v>
      </c>
      <c r="I1263" s="15">
        <v>0</v>
      </c>
    </row>
    <row r="1264" spans="2:9" x14ac:dyDescent="0.3">
      <c r="B1264" s="14" t="s">
        <v>15</v>
      </c>
      <c r="C1264" s="15">
        <v>100</v>
      </c>
      <c r="D1264" s="15">
        <v>25170</v>
      </c>
      <c r="E1264" s="15">
        <v>130</v>
      </c>
      <c r="F1264" s="15">
        <v>34890</v>
      </c>
      <c r="G1264" s="15">
        <v>0</v>
      </c>
      <c r="H1264" s="15">
        <v>0</v>
      </c>
      <c r="I1264" s="15">
        <v>0</v>
      </c>
    </row>
    <row r="1265" spans="2:9" x14ac:dyDescent="0.3">
      <c r="B1265" s="14" t="s">
        <v>16</v>
      </c>
      <c r="C1265" s="15">
        <v>10360</v>
      </c>
      <c r="D1265" s="15">
        <v>4278028</v>
      </c>
      <c r="E1265" s="15">
        <v>50</v>
      </c>
      <c r="F1265" s="15">
        <v>21090</v>
      </c>
      <c r="G1265" s="15">
        <v>0</v>
      </c>
      <c r="H1265" s="15">
        <v>10500</v>
      </c>
      <c r="I1265" s="15">
        <v>0</v>
      </c>
    </row>
    <row r="1266" spans="2:9" x14ac:dyDescent="0.3">
      <c r="B1266" s="14" t="s">
        <v>17</v>
      </c>
      <c r="C1266" s="15">
        <v>2200</v>
      </c>
      <c r="D1266" s="15">
        <v>32560</v>
      </c>
      <c r="E1266" s="15">
        <v>25000</v>
      </c>
      <c r="F1266" s="15">
        <v>230601</v>
      </c>
      <c r="G1266" s="15">
        <v>184150</v>
      </c>
      <c r="H1266" s="15">
        <v>0</v>
      </c>
      <c r="I1266" s="15">
        <v>10000</v>
      </c>
    </row>
    <row r="1267" spans="2:9" x14ac:dyDescent="0.3">
      <c r="B1267" s="14" t="s">
        <v>18</v>
      </c>
      <c r="C1267" s="15">
        <v>204745</v>
      </c>
      <c r="D1267" s="15">
        <v>79845741</v>
      </c>
      <c r="E1267" s="15">
        <v>104738</v>
      </c>
      <c r="F1267" s="15">
        <v>29687634</v>
      </c>
      <c r="G1267" s="15">
        <v>11795705</v>
      </c>
      <c r="H1267" s="15">
        <v>137070</v>
      </c>
      <c r="I1267" s="15">
        <v>32100</v>
      </c>
    </row>
    <row r="1268" spans="2:9" x14ac:dyDescent="0.3">
      <c r="B1268" s="14" t="s">
        <v>19</v>
      </c>
      <c r="C1268" s="15">
        <v>13090</v>
      </c>
      <c r="D1268" s="15">
        <v>6017060</v>
      </c>
      <c r="E1268" s="15">
        <v>1400</v>
      </c>
      <c r="F1268" s="15">
        <v>660850</v>
      </c>
      <c r="G1268" s="15">
        <v>0</v>
      </c>
      <c r="H1268" s="15">
        <v>12000</v>
      </c>
      <c r="I1268" s="15">
        <v>0</v>
      </c>
    </row>
    <row r="1269" spans="2:9" x14ac:dyDescent="0.3">
      <c r="B1269" s="14" t="s">
        <v>20</v>
      </c>
      <c r="C1269" s="15">
        <v>0</v>
      </c>
      <c r="D1269" s="15">
        <v>0</v>
      </c>
      <c r="E1269" s="15">
        <v>0</v>
      </c>
      <c r="F1269" s="15">
        <v>0</v>
      </c>
      <c r="G1269" s="15">
        <v>0</v>
      </c>
      <c r="H1269" s="15">
        <v>13120</v>
      </c>
      <c r="I1269" s="15">
        <v>50946380</v>
      </c>
    </row>
    <row r="1270" spans="2:9" x14ac:dyDescent="0.3">
      <c r="B1270" s="14" t="s">
        <v>24</v>
      </c>
      <c r="C1270" s="15">
        <v>0</v>
      </c>
      <c r="D1270" s="15">
        <v>0</v>
      </c>
      <c r="E1270" s="15">
        <v>6510</v>
      </c>
      <c r="F1270" s="15">
        <v>618620</v>
      </c>
      <c r="G1270" s="15">
        <v>0</v>
      </c>
      <c r="H1270" s="15">
        <v>0</v>
      </c>
      <c r="I1270" s="15">
        <v>6000</v>
      </c>
    </row>
    <row r="1271" spans="2:9" x14ac:dyDescent="0.3">
      <c r="B1271" s="14" t="s">
        <v>25</v>
      </c>
      <c r="C1271" s="15">
        <v>618</v>
      </c>
      <c r="D1271" s="15">
        <v>46225</v>
      </c>
      <c r="E1271" s="15">
        <v>8345</v>
      </c>
      <c r="F1271" s="15">
        <v>660755</v>
      </c>
      <c r="G1271" s="15">
        <v>29805</v>
      </c>
      <c r="H1271" s="15">
        <v>2000</v>
      </c>
      <c r="I1271" s="15">
        <v>10000</v>
      </c>
    </row>
    <row r="1272" spans="2:9" x14ac:dyDescent="0.3">
      <c r="B1272" s="14" t="s">
        <v>26</v>
      </c>
      <c r="C1272" s="15">
        <v>0</v>
      </c>
      <c r="D1272" s="15">
        <v>0</v>
      </c>
      <c r="E1272" s="15">
        <v>0</v>
      </c>
      <c r="F1272" s="15">
        <v>0</v>
      </c>
      <c r="G1272" s="15">
        <v>0</v>
      </c>
      <c r="H1272" s="15">
        <v>15000</v>
      </c>
      <c r="I1272" s="15">
        <v>0</v>
      </c>
    </row>
    <row r="1273" spans="2:9" x14ac:dyDescent="0.3">
      <c r="B1273" s="14" t="s">
        <v>27</v>
      </c>
      <c r="C1273" s="15">
        <v>575</v>
      </c>
      <c r="D1273" s="15">
        <v>5635</v>
      </c>
      <c r="E1273" s="15">
        <v>11675</v>
      </c>
      <c r="F1273" s="15">
        <v>134620</v>
      </c>
      <c r="G1273" s="15">
        <v>32000</v>
      </c>
      <c r="H1273" s="15">
        <v>6000</v>
      </c>
      <c r="I1273" s="15">
        <v>18000</v>
      </c>
    </row>
    <row r="1274" spans="2:9" x14ac:dyDescent="0.3">
      <c r="B1274" s="14" t="s">
        <v>28</v>
      </c>
      <c r="C1274" s="15">
        <v>7023</v>
      </c>
      <c r="D1274" s="15">
        <v>2461576</v>
      </c>
      <c r="E1274" s="15">
        <v>24149</v>
      </c>
      <c r="F1274" s="15">
        <v>7896745</v>
      </c>
      <c r="G1274" s="15">
        <v>753715</v>
      </c>
      <c r="H1274" s="15">
        <v>3500</v>
      </c>
      <c r="I1274" s="15">
        <v>19070</v>
      </c>
    </row>
    <row r="1275" spans="2:9" ht="15.6" x14ac:dyDescent="0.3">
      <c r="B1275" s="16" t="s">
        <v>29</v>
      </c>
      <c r="C1275" s="16"/>
      <c r="D1275" s="17">
        <f>SUM(D1263:D1274)</f>
        <v>92711995</v>
      </c>
      <c r="E1275" s="18"/>
      <c r="F1275" s="17">
        <f>SUM(F1263:F1274)</f>
        <v>39958670</v>
      </c>
      <c r="G1275" s="17">
        <f>SUM(G1263:G1274)</f>
        <v>12795375</v>
      </c>
      <c r="H1275" s="19"/>
      <c r="I1275" s="19"/>
    </row>
    <row r="1278" spans="2:9" ht="17.399999999999999" x14ac:dyDescent="0.3">
      <c r="B1278" s="21" t="s">
        <v>112</v>
      </c>
      <c r="C1278" s="21"/>
      <c r="D1278" s="21"/>
      <c r="E1278" s="21"/>
      <c r="F1278" s="21"/>
      <c r="G1278" s="21"/>
      <c r="H1278" s="21"/>
      <c r="I1278" s="21"/>
    </row>
    <row r="1279" spans="2:9" ht="15.6" x14ac:dyDescent="0.3">
      <c r="B1279" s="22" t="s">
        <v>12</v>
      </c>
      <c r="C1279" s="23">
        <v>20070</v>
      </c>
      <c r="D1279" s="23">
        <v>4580520</v>
      </c>
      <c r="E1279" s="23">
        <v>39850</v>
      </c>
      <c r="F1279" s="23">
        <v>8728516</v>
      </c>
      <c r="G1279" s="23">
        <v>1022581</v>
      </c>
      <c r="H1279" s="23">
        <v>103100</v>
      </c>
      <c r="I1279" s="23">
        <v>116100</v>
      </c>
    </row>
    <row r="1280" spans="2:9" ht="15.6" x14ac:dyDescent="0.3">
      <c r="B1280" s="22" t="s">
        <v>13</v>
      </c>
      <c r="C1280" s="23">
        <v>2170</v>
      </c>
      <c r="D1280" s="23">
        <v>407109</v>
      </c>
      <c r="E1280" s="23">
        <v>1260</v>
      </c>
      <c r="F1280" s="23">
        <v>221881</v>
      </c>
      <c r="G1280" s="23">
        <v>57775</v>
      </c>
      <c r="H1280" s="23">
        <v>880</v>
      </c>
      <c r="I1280" s="23">
        <v>880</v>
      </c>
    </row>
    <row r="1281" spans="2:9" ht="15.6" x14ac:dyDescent="0.3">
      <c r="B1281" s="22" t="s">
        <v>14</v>
      </c>
      <c r="C1281" s="23">
        <v>13237</v>
      </c>
      <c r="D1281" s="23">
        <v>2526970</v>
      </c>
      <c r="E1281" s="23">
        <v>61422</v>
      </c>
      <c r="F1281" s="23">
        <v>11797460</v>
      </c>
      <c r="G1281" s="23">
        <v>1327653</v>
      </c>
      <c r="H1281" s="23">
        <v>100700</v>
      </c>
      <c r="I1281" s="23">
        <v>73700</v>
      </c>
    </row>
    <row r="1282" spans="2:9" ht="15.6" x14ac:dyDescent="0.3">
      <c r="B1282" s="22" t="s">
        <v>52</v>
      </c>
      <c r="C1282" s="23">
        <v>0</v>
      </c>
      <c r="D1282" s="23">
        <v>0</v>
      </c>
      <c r="E1282" s="23">
        <v>465</v>
      </c>
      <c r="F1282" s="23">
        <v>14515</v>
      </c>
      <c r="G1282" s="23">
        <v>21840</v>
      </c>
      <c r="H1282" s="23">
        <v>900</v>
      </c>
      <c r="I1282" s="23">
        <v>900</v>
      </c>
    </row>
    <row r="1283" spans="2:9" ht="15.6" x14ac:dyDescent="0.3">
      <c r="B1283" s="22" t="s">
        <v>15</v>
      </c>
      <c r="C1283" s="23">
        <v>91620</v>
      </c>
      <c r="D1283" s="23">
        <v>23071666</v>
      </c>
      <c r="E1283" s="23">
        <v>16115</v>
      </c>
      <c r="F1283" s="23">
        <v>3466232</v>
      </c>
      <c r="G1283" s="23">
        <v>869290</v>
      </c>
      <c r="H1283" s="23">
        <v>189370</v>
      </c>
      <c r="I1283" s="23">
        <v>110070</v>
      </c>
    </row>
    <row r="1284" spans="2:9" ht="15.6" x14ac:dyDescent="0.3">
      <c r="B1284" s="22" t="s">
        <v>16</v>
      </c>
      <c r="C1284" s="23">
        <v>1041230</v>
      </c>
      <c r="D1284" s="23">
        <v>428967037</v>
      </c>
      <c r="E1284" s="23">
        <v>139450</v>
      </c>
      <c r="F1284" s="23">
        <v>45948281</v>
      </c>
      <c r="G1284" s="23">
        <v>13000969</v>
      </c>
      <c r="H1284" s="23">
        <v>1998500</v>
      </c>
      <c r="I1284" s="23">
        <v>1104500</v>
      </c>
    </row>
    <row r="1285" spans="2:9" ht="15.6" x14ac:dyDescent="0.3">
      <c r="B1285" s="22" t="s">
        <v>32</v>
      </c>
      <c r="C1285" s="23">
        <v>16381</v>
      </c>
      <c r="D1285" s="23">
        <v>758693</v>
      </c>
      <c r="E1285" s="23">
        <v>9652</v>
      </c>
      <c r="F1285" s="23">
        <v>436175</v>
      </c>
      <c r="G1285" s="23">
        <v>133918</v>
      </c>
      <c r="H1285" s="23">
        <v>34825</v>
      </c>
      <c r="I1285" s="23">
        <v>34825</v>
      </c>
    </row>
    <row r="1286" spans="2:9" ht="15.6" x14ac:dyDescent="0.3">
      <c r="B1286" s="22" t="s">
        <v>17</v>
      </c>
      <c r="C1286" s="23">
        <v>382000</v>
      </c>
      <c r="D1286" s="23">
        <v>5571234</v>
      </c>
      <c r="E1286" s="23">
        <v>1596400</v>
      </c>
      <c r="F1286" s="23">
        <v>22086092</v>
      </c>
      <c r="G1286" s="23">
        <v>5542112</v>
      </c>
      <c r="H1286" s="23">
        <v>1696400</v>
      </c>
      <c r="I1286" s="23">
        <v>2386400</v>
      </c>
    </row>
    <row r="1287" spans="2:9" ht="15.6" x14ac:dyDescent="0.3">
      <c r="B1287" s="22" t="s">
        <v>18</v>
      </c>
      <c r="C1287" s="23">
        <v>10554187</v>
      </c>
      <c r="D1287" s="23">
        <v>4088826014</v>
      </c>
      <c r="E1287" s="23">
        <v>5872949</v>
      </c>
      <c r="F1287" s="23">
        <v>1833916440</v>
      </c>
      <c r="G1287" s="23">
        <v>504684516</v>
      </c>
      <c r="H1287" s="23">
        <v>12257370</v>
      </c>
      <c r="I1287" s="23">
        <v>7582370</v>
      </c>
    </row>
    <row r="1288" spans="2:9" ht="15.6" x14ac:dyDescent="0.3">
      <c r="B1288" s="22" t="s">
        <v>19</v>
      </c>
      <c r="C1288" s="23">
        <v>470695</v>
      </c>
      <c r="D1288" s="23">
        <v>216899750</v>
      </c>
      <c r="E1288" s="23">
        <v>255510</v>
      </c>
      <c r="F1288" s="23">
        <v>105169380</v>
      </c>
      <c r="G1288" s="23">
        <v>16104815</v>
      </c>
      <c r="H1288" s="23">
        <v>725740</v>
      </c>
      <c r="I1288" s="23">
        <v>514740</v>
      </c>
    </row>
    <row r="1289" spans="2:9" ht="15.6" x14ac:dyDescent="0.3">
      <c r="B1289" s="22" t="s">
        <v>20</v>
      </c>
      <c r="C1289" s="23">
        <v>0</v>
      </c>
      <c r="D1289" s="23">
        <v>0</v>
      </c>
      <c r="E1289" s="23">
        <v>0</v>
      </c>
      <c r="F1289" s="23">
        <v>0</v>
      </c>
      <c r="G1289" s="23">
        <v>0</v>
      </c>
      <c r="H1289" s="23">
        <v>4385411005</v>
      </c>
      <c r="I1289" s="23">
        <v>7199515185</v>
      </c>
    </row>
    <row r="1290" spans="2:9" ht="15.6" x14ac:dyDescent="0.3">
      <c r="B1290" s="22" t="s">
        <v>21</v>
      </c>
      <c r="C1290" s="23">
        <v>20500</v>
      </c>
      <c r="D1290" s="23">
        <v>1805303</v>
      </c>
      <c r="E1290" s="23">
        <v>7450</v>
      </c>
      <c r="F1290" s="23">
        <v>782959</v>
      </c>
      <c r="G1290" s="23">
        <v>2112</v>
      </c>
      <c r="H1290" s="23">
        <v>26000</v>
      </c>
      <c r="I1290" s="23">
        <v>26000</v>
      </c>
    </row>
    <row r="1291" spans="2:9" ht="15.6" x14ac:dyDescent="0.3">
      <c r="B1291" s="22" t="s">
        <v>22</v>
      </c>
      <c r="C1291" s="23">
        <v>2027000</v>
      </c>
      <c r="D1291" s="23">
        <v>4747095</v>
      </c>
      <c r="E1291" s="23">
        <v>2204000</v>
      </c>
      <c r="F1291" s="23">
        <v>3297555</v>
      </c>
      <c r="G1291" s="23">
        <v>2459841</v>
      </c>
      <c r="H1291" s="23">
        <v>4143000</v>
      </c>
      <c r="I1291" s="23">
        <v>4438000</v>
      </c>
    </row>
    <row r="1292" spans="2:9" ht="15.6" x14ac:dyDescent="0.3">
      <c r="B1292" s="22" t="s">
        <v>40</v>
      </c>
      <c r="C1292" s="23">
        <v>1300</v>
      </c>
      <c r="D1292" s="23">
        <v>20817</v>
      </c>
      <c r="E1292" s="23">
        <v>1400</v>
      </c>
      <c r="F1292" s="23">
        <v>30200</v>
      </c>
      <c r="G1292" s="23">
        <v>8000</v>
      </c>
      <c r="H1292" s="23">
        <v>1000</v>
      </c>
      <c r="I1292" s="23">
        <v>1000</v>
      </c>
    </row>
    <row r="1293" spans="2:9" ht="15.6" x14ac:dyDescent="0.3">
      <c r="B1293" s="22" t="s">
        <v>23</v>
      </c>
      <c r="C1293" s="23">
        <v>155</v>
      </c>
      <c r="D1293" s="23">
        <v>32340</v>
      </c>
      <c r="E1293" s="23">
        <v>12175</v>
      </c>
      <c r="F1293" s="23">
        <v>678375</v>
      </c>
      <c r="G1293" s="23">
        <v>2123150</v>
      </c>
      <c r="H1293" s="23">
        <v>14885</v>
      </c>
      <c r="I1293" s="23">
        <v>21885</v>
      </c>
    </row>
    <row r="1294" spans="2:9" ht="15.6" x14ac:dyDescent="0.3">
      <c r="B1294" s="22" t="s">
        <v>24</v>
      </c>
      <c r="C1294" s="23">
        <v>153080</v>
      </c>
      <c r="D1294" s="23">
        <v>13210244</v>
      </c>
      <c r="E1294" s="23">
        <v>382130</v>
      </c>
      <c r="F1294" s="23">
        <v>30447121</v>
      </c>
      <c r="G1294" s="23">
        <v>6680974</v>
      </c>
      <c r="H1294" s="23">
        <v>378500</v>
      </c>
      <c r="I1294" s="23">
        <v>583500</v>
      </c>
    </row>
    <row r="1295" spans="2:9" ht="15.6" x14ac:dyDescent="0.3">
      <c r="B1295" s="22" t="s">
        <v>25</v>
      </c>
      <c r="C1295" s="23">
        <v>987131</v>
      </c>
      <c r="D1295" s="23">
        <v>73914468</v>
      </c>
      <c r="E1295" s="23">
        <v>1540822</v>
      </c>
      <c r="F1295" s="23">
        <v>103294532</v>
      </c>
      <c r="G1295" s="23">
        <v>26067408</v>
      </c>
      <c r="H1295" s="23">
        <v>1315898</v>
      </c>
      <c r="I1295" s="23">
        <v>1705898</v>
      </c>
    </row>
    <row r="1296" spans="2:9" ht="15.6" x14ac:dyDescent="0.3">
      <c r="B1296" s="22" t="s">
        <v>26</v>
      </c>
      <c r="C1296" s="23">
        <v>2578680</v>
      </c>
      <c r="D1296" s="23">
        <v>7757637</v>
      </c>
      <c r="E1296" s="23">
        <v>2493820</v>
      </c>
      <c r="F1296" s="23">
        <v>8382786</v>
      </c>
      <c r="G1296" s="23">
        <v>1359229</v>
      </c>
      <c r="H1296" s="23">
        <v>1882000</v>
      </c>
      <c r="I1296" s="23">
        <v>1882000</v>
      </c>
    </row>
    <row r="1297" spans="2:9" ht="15.6" x14ac:dyDescent="0.3">
      <c r="B1297" s="22" t="s">
        <v>33</v>
      </c>
      <c r="C1297" s="23">
        <v>224920</v>
      </c>
      <c r="D1297" s="23">
        <v>499845</v>
      </c>
      <c r="E1297" s="23">
        <v>72170</v>
      </c>
      <c r="F1297" s="23">
        <v>204695</v>
      </c>
      <c r="G1297" s="23">
        <v>141120</v>
      </c>
      <c r="H1297" s="23">
        <v>260000</v>
      </c>
      <c r="I1297" s="23">
        <v>260000</v>
      </c>
    </row>
    <row r="1298" spans="2:9" ht="15.6" x14ac:dyDescent="0.3">
      <c r="B1298" s="22" t="s">
        <v>38</v>
      </c>
      <c r="C1298" s="23">
        <v>22380</v>
      </c>
      <c r="D1298" s="23">
        <v>156660</v>
      </c>
      <c r="E1298" s="23">
        <v>36190</v>
      </c>
      <c r="F1298" s="23">
        <v>485535</v>
      </c>
      <c r="G1298" s="23">
        <v>1742</v>
      </c>
      <c r="H1298" s="23">
        <v>23600</v>
      </c>
      <c r="I1298" s="23">
        <v>23600</v>
      </c>
    </row>
    <row r="1299" spans="2:9" ht="15.6" x14ac:dyDescent="0.3">
      <c r="B1299" s="22" t="s">
        <v>27</v>
      </c>
      <c r="C1299" s="23">
        <v>191490</v>
      </c>
      <c r="D1299" s="23">
        <v>1885695</v>
      </c>
      <c r="E1299" s="23">
        <v>1582450</v>
      </c>
      <c r="F1299" s="23">
        <v>17625619</v>
      </c>
      <c r="G1299" s="23">
        <v>4356507</v>
      </c>
      <c r="H1299" s="23">
        <v>1670150</v>
      </c>
      <c r="I1299" s="23">
        <v>3245150</v>
      </c>
    </row>
    <row r="1300" spans="2:9" ht="15.6" x14ac:dyDescent="0.3">
      <c r="B1300" s="22" t="s">
        <v>28</v>
      </c>
      <c r="C1300" s="23">
        <v>1240507</v>
      </c>
      <c r="D1300" s="23">
        <v>433349093</v>
      </c>
      <c r="E1300" s="23">
        <v>945825</v>
      </c>
      <c r="F1300" s="23">
        <v>272537611</v>
      </c>
      <c r="G1300" s="23">
        <v>67258548</v>
      </c>
      <c r="H1300" s="23">
        <v>1952690</v>
      </c>
      <c r="I1300" s="23">
        <v>1685690</v>
      </c>
    </row>
    <row r="1301" spans="2:9" ht="15.6" x14ac:dyDescent="0.3">
      <c r="B1301" s="24" t="s">
        <v>113</v>
      </c>
      <c r="C1301" s="25"/>
      <c r="D1301" s="26">
        <f>SUM(D1279:D1300)</f>
        <v>5308988190</v>
      </c>
      <c r="E1301" s="27"/>
      <c r="F1301" s="26">
        <f>SUM(F1279:F1300)</f>
        <v>2469551960</v>
      </c>
      <c r="G1301" s="26">
        <f>SUM(G1279:G1300)</f>
        <v>653224100</v>
      </c>
      <c r="H1301" s="27"/>
      <c r="I1301" s="27"/>
    </row>
    <row r="1302" spans="2:9" ht="15.6" x14ac:dyDescent="0.3">
      <c r="B1302" s="22"/>
      <c r="C1302" s="23"/>
      <c r="D1302" s="23"/>
      <c r="E1302" s="23"/>
      <c r="F1302" s="23"/>
      <c r="G1302" s="23"/>
      <c r="H1302" s="23"/>
      <c r="I1302" s="23"/>
    </row>
    <row r="1303" spans="2:9" ht="15.6" x14ac:dyDescent="0.3">
      <c r="B1303" s="22"/>
      <c r="C1303" s="23"/>
      <c r="D1303" s="23"/>
      <c r="E1303" s="23"/>
      <c r="F1303" s="23"/>
      <c r="G1303" s="23"/>
      <c r="H1303" s="23"/>
      <c r="I1303" s="23"/>
    </row>
    <row r="1304" spans="2:9" ht="15.6" x14ac:dyDescent="0.3">
      <c r="B1304" s="22"/>
      <c r="C1304" s="23"/>
      <c r="D1304" s="23"/>
      <c r="E1304" s="23"/>
      <c r="F1304" s="23"/>
      <c r="G1304" s="23"/>
      <c r="H1304" s="23"/>
      <c r="I1304" s="23"/>
    </row>
    <row r="1305" spans="2:9" ht="15.6" x14ac:dyDescent="0.3">
      <c r="B1305" s="22"/>
      <c r="C1305" s="23"/>
      <c r="D1305" s="23"/>
      <c r="E1305" s="23"/>
      <c r="F1305" s="23"/>
      <c r="G1305" s="23"/>
      <c r="H1305" s="23"/>
      <c r="I1305" s="23"/>
    </row>
  </sheetData>
  <mergeCells count="158">
    <mergeCell ref="B1278:I1278"/>
    <mergeCell ref="B1301:C1301"/>
    <mergeCell ref="B1228:D1228"/>
    <mergeCell ref="B1245:C1245"/>
    <mergeCell ref="B1247:D1247"/>
    <mergeCell ref="B1260:C1260"/>
    <mergeCell ref="B1262:D1262"/>
    <mergeCell ref="B1275:C1275"/>
    <mergeCell ref="B1182:D1182"/>
    <mergeCell ref="B1195:C1195"/>
    <mergeCell ref="B1197:D1197"/>
    <mergeCell ref="B1210:C1210"/>
    <mergeCell ref="B1212:D1212"/>
    <mergeCell ref="B1226:C1226"/>
    <mergeCell ref="B1136:D1136"/>
    <mergeCell ref="B1147:C1147"/>
    <mergeCell ref="B1149:D1149"/>
    <mergeCell ref="B1163:C1163"/>
    <mergeCell ref="B1165:D1165"/>
    <mergeCell ref="B1180:C1180"/>
    <mergeCell ref="B1095:C1095"/>
    <mergeCell ref="B1097:D1097"/>
    <mergeCell ref="B1117:C1117"/>
    <mergeCell ref="B1119:I1119"/>
    <mergeCell ref="B1120:D1120"/>
    <mergeCell ref="B1134:C1134"/>
    <mergeCell ref="B1042:C1042"/>
    <mergeCell ref="B1044:D1044"/>
    <mergeCell ref="B1066:C1066"/>
    <mergeCell ref="B1068:D1068"/>
    <mergeCell ref="B1079:C1079"/>
    <mergeCell ref="B1081:D1081"/>
    <mergeCell ref="B986:C986"/>
    <mergeCell ref="B988:D988"/>
    <mergeCell ref="B1004:C1004"/>
    <mergeCell ref="B1006:D1006"/>
    <mergeCell ref="B1024:C1024"/>
    <mergeCell ref="B1026:D1026"/>
    <mergeCell ref="B948:D948"/>
    <mergeCell ref="B961:C961"/>
    <mergeCell ref="B963:D963"/>
    <mergeCell ref="B966:C966"/>
    <mergeCell ref="B968:I968"/>
    <mergeCell ref="B969:D969"/>
    <mergeCell ref="B898:D898"/>
    <mergeCell ref="B911:C911"/>
    <mergeCell ref="B913:D913"/>
    <mergeCell ref="B928:C928"/>
    <mergeCell ref="B930:D930"/>
    <mergeCell ref="B946:C946"/>
    <mergeCell ref="B863:C863"/>
    <mergeCell ref="B865:I865"/>
    <mergeCell ref="B866:D866"/>
    <mergeCell ref="B880:C880"/>
    <mergeCell ref="B882:D882"/>
    <mergeCell ref="B896:C896"/>
    <mergeCell ref="B807:C807"/>
    <mergeCell ref="B809:D809"/>
    <mergeCell ref="B826:C826"/>
    <mergeCell ref="B828:D828"/>
    <mergeCell ref="B844:C844"/>
    <mergeCell ref="B846:D846"/>
    <mergeCell ref="B759:C759"/>
    <mergeCell ref="B761:D761"/>
    <mergeCell ref="B776:C776"/>
    <mergeCell ref="B778:D778"/>
    <mergeCell ref="B790:C790"/>
    <mergeCell ref="B792:D792"/>
    <mergeCell ref="B706:C706"/>
    <mergeCell ref="B708:D708"/>
    <mergeCell ref="B722:C722"/>
    <mergeCell ref="B724:D724"/>
    <mergeCell ref="B739:C739"/>
    <mergeCell ref="B741:D741"/>
    <mergeCell ref="B651:D651"/>
    <mergeCell ref="B667:C667"/>
    <mergeCell ref="B669:D669"/>
    <mergeCell ref="B687:C687"/>
    <mergeCell ref="B689:I689"/>
    <mergeCell ref="B690:D690"/>
    <mergeCell ref="B590:D590"/>
    <mergeCell ref="B608:C608"/>
    <mergeCell ref="B610:D610"/>
    <mergeCell ref="B628:C628"/>
    <mergeCell ref="B630:D630"/>
    <mergeCell ref="B649:C649"/>
    <mergeCell ref="B537:D537"/>
    <mergeCell ref="B552:C552"/>
    <mergeCell ref="B554:D554"/>
    <mergeCell ref="B569:C569"/>
    <mergeCell ref="B571:D571"/>
    <mergeCell ref="B588:C588"/>
    <mergeCell ref="B481:D481"/>
    <mergeCell ref="B500:C500"/>
    <mergeCell ref="B502:D502"/>
    <mergeCell ref="B517:C517"/>
    <mergeCell ref="B519:D519"/>
    <mergeCell ref="B535:C535"/>
    <mergeCell ref="B443:C443"/>
    <mergeCell ref="B445:D445"/>
    <mergeCell ref="B461:C461"/>
    <mergeCell ref="B463:D463"/>
    <mergeCell ref="B478:C478"/>
    <mergeCell ref="B480:I480"/>
    <mergeCell ref="B384:C384"/>
    <mergeCell ref="B386:D386"/>
    <mergeCell ref="B402:C402"/>
    <mergeCell ref="B404:D404"/>
    <mergeCell ref="B420:C420"/>
    <mergeCell ref="B422:D422"/>
    <mergeCell ref="B326:C326"/>
    <mergeCell ref="B328:D328"/>
    <mergeCell ref="B344:C344"/>
    <mergeCell ref="B346:D346"/>
    <mergeCell ref="B366:C366"/>
    <mergeCell ref="B368:D368"/>
    <mergeCell ref="B267:D267"/>
    <mergeCell ref="B283:C283"/>
    <mergeCell ref="B285:D285"/>
    <mergeCell ref="B303:C303"/>
    <mergeCell ref="B305:I305"/>
    <mergeCell ref="B306:D306"/>
    <mergeCell ref="B208:D208"/>
    <mergeCell ref="B225:C225"/>
    <mergeCell ref="B227:D227"/>
    <mergeCell ref="B246:C246"/>
    <mergeCell ref="B248:D248"/>
    <mergeCell ref="B265:C265"/>
    <mergeCell ref="B150:D150"/>
    <mergeCell ref="B169:C169"/>
    <mergeCell ref="B171:D171"/>
    <mergeCell ref="B188:C188"/>
    <mergeCell ref="B190:D190"/>
    <mergeCell ref="B206:C206"/>
    <mergeCell ref="B114:C114"/>
    <mergeCell ref="B116:D116"/>
    <mergeCell ref="B130:C130"/>
    <mergeCell ref="B132:D132"/>
    <mergeCell ref="B147:C147"/>
    <mergeCell ref="B149:I149"/>
    <mergeCell ref="B60:C60"/>
    <mergeCell ref="B62:D62"/>
    <mergeCell ref="B78:C78"/>
    <mergeCell ref="B80:D80"/>
    <mergeCell ref="B95:C95"/>
    <mergeCell ref="B97:D97"/>
    <mergeCell ref="B6:I6"/>
    <mergeCell ref="B7:D7"/>
    <mergeCell ref="B25:C25"/>
    <mergeCell ref="B27:D27"/>
    <mergeCell ref="B41:C41"/>
    <mergeCell ref="B43:D43"/>
    <mergeCell ref="B2:I2"/>
    <mergeCell ref="B4:B5"/>
    <mergeCell ref="C4:D4"/>
    <mergeCell ref="E4:G4"/>
    <mergeCell ref="H4:H5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Bianka Gazsi</dc:creator>
  <cp:lastModifiedBy>Bianka Gazsi</cp:lastModifiedBy>
  <dcterms:created xsi:type="dcterms:W3CDTF">2024-11-27T14:05:12Z</dcterms:created>
  <dcterms:modified xsi:type="dcterms:W3CDTF">2024-11-27T14:06:15Z</dcterms:modified>
</cp:coreProperties>
</file>