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fileSharing userName="User" reservationPassword="C60C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umok\Könyvelés Pécs\2024\2024 02 hó\"/>
    </mc:Choice>
  </mc:AlternateContent>
  <xr:revisionPtr revIDLastSave="0" documentId="8_{5D8B17D3-EE22-4264-A0D2-13AC9422B7F9}" xr6:coauthVersionLast="36" xr6:coauthVersionMax="36" xr10:uidLastSave="{00000000-0000-0000-0000-000000000000}"/>
  <bookViews>
    <workbookView xWindow="0" yWindow="0" windowWidth="17256" windowHeight="8304" activeTab="3" xr2:uid="{1FBCA0BD-87F6-4D84-97F0-882E159A457E}"/>
  </bookViews>
  <sheets>
    <sheet name="Best Change" sheetId="5" r:id="rId1"/>
    <sheet name="East Change" sheetId="4" r:id="rId2"/>
    <sheet name="Pannon Change" sheetId="3" r:id="rId3"/>
    <sheet name="Expressz Zalog" sheetId="2" r:id="rId4"/>
    <sheet name="Munka1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1" i="2" l="1"/>
  <c r="F181" i="2"/>
  <c r="D181" i="2"/>
  <c r="G162" i="2"/>
  <c r="F162" i="2"/>
  <c r="D162" i="2"/>
  <c r="G150" i="2"/>
  <c r="F150" i="2"/>
  <c r="D150" i="2"/>
  <c r="G137" i="2"/>
  <c r="F137" i="2"/>
  <c r="D137" i="2"/>
  <c r="G125" i="2"/>
  <c r="F125" i="2"/>
  <c r="D125" i="2"/>
  <c r="G112" i="2"/>
  <c r="F112" i="2"/>
  <c r="D112" i="2"/>
  <c r="G105" i="2"/>
  <c r="F105" i="2"/>
  <c r="D105" i="2"/>
  <c r="G91" i="2"/>
  <c r="F91" i="2"/>
  <c r="D91" i="2"/>
  <c r="G74" i="2"/>
  <c r="F74" i="2"/>
  <c r="D74" i="2"/>
  <c r="G62" i="2"/>
  <c r="F62" i="2"/>
  <c r="D62" i="2"/>
  <c r="G52" i="2"/>
  <c r="F52" i="2"/>
  <c r="D52" i="2"/>
  <c r="G41" i="2"/>
  <c r="F41" i="2"/>
  <c r="D41" i="2"/>
  <c r="G31" i="2"/>
  <c r="F31" i="2"/>
  <c r="D31" i="2"/>
  <c r="G24" i="2"/>
  <c r="F24" i="2"/>
  <c r="D24" i="2"/>
  <c r="G15" i="2"/>
  <c r="F15" i="2"/>
  <c r="D15" i="2"/>
  <c r="G1281" i="5"/>
  <c r="F1281" i="5"/>
  <c r="D1281" i="5"/>
  <c r="G1254" i="5"/>
  <c r="F1254" i="5"/>
  <c r="D1254" i="5"/>
  <c r="G1240" i="5"/>
  <c r="F1240" i="5"/>
  <c r="D1240" i="5"/>
  <c r="G1225" i="5"/>
  <c r="F1225" i="5"/>
  <c r="D1225" i="5"/>
  <c r="G1203" i="5"/>
  <c r="F1203" i="5"/>
  <c r="D1203" i="5"/>
  <c r="G1186" i="5"/>
  <c r="F1186" i="5"/>
  <c r="D1186" i="5"/>
  <c r="G1172" i="5"/>
  <c r="F1172" i="5"/>
  <c r="D1172" i="5"/>
  <c r="G1159" i="5"/>
  <c r="F1159" i="5"/>
  <c r="D1159" i="5"/>
  <c r="G1144" i="5"/>
  <c r="F1144" i="5"/>
  <c r="D1144" i="5"/>
  <c r="G1129" i="5"/>
  <c r="F1129" i="5"/>
  <c r="D1129" i="5"/>
  <c r="G1116" i="5"/>
  <c r="F1116" i="5"/>
  <c r="D1116" i="5"/>
  <c r="G1100" i="5"/>
  <c r="F1100" i="5"/>
  <c r="D1100" i="5"/>
  <c r="G1084" i="5"/>
  <c r="F1084" i="5"/>
  <c r="D1084" i="5"/>
  <c r="G1072" i="5"/>
  <c r="F1072" i="5"/>
  <c r="D1072" i="5"/>
  <c r="G1052" i="5"/>
  <c r="F1052" i="5"/>
  <c r="D1052" i="5"/>
  <c r="G1030" i="5"/>
  <c r="F1030" i="5"/>
  <c r="D1030" i="5"/>
  <c r="G1011" i="5"/>
  <c r="F1011" i="5"/>
  <c r="D1011" i="5"/>
  <c r="G993" i="5"/>
  <c r="F993" i="5"/>
  <c r="D993" i="5"/>
  <c r="G978" i="5"/>
  <c r="F978" i="5"/>
  <c r="D978" i="5"/>
  <c r="G963" i="5"/>
  <c r="F963" i="5"/>
  <c r="D963" i="5"/>
  <c r="G950" i="5"/>
  <c r="F950" i="5"/>
  <c r="D950" i="5"/>
  <c r="G933" i="5"/>
  <c r="F933" i="5"/>
  <c r="D933" i="5"/>
  <c r="G916" i="5"/>
  <c r="F916" i="5"/>
  <c r="D916" i="5"/>
  <c r="G899" i="5"/>
  <c r="F899" i="5"/>
  <c r="D899" i="5"/>
  <c r="G882" i="5"/>
  <c r="F882" i="5"/>
  <c r="D882" i="5"/>
  <c r="G865" i="5"/>
  <c r="F865" i="5"/>
  <c r="D865" i="5"/>
  <c r="G849" i="5"/>
  <c r="F849" i="5"/>
  <c r="D849" i="5"/>
  <c r="G835" i="5"/>
  <c r="F835" i="5"/>
  <c r="D835" i="5"/>
  <c r="G814" i="5"/>
  <c r="F814" i="5"/>
  <c r="D814" i="5"/>
  <c r="G796" i="5"/>
  <c r="F796" i="5"/>
  <c r="D796" i="5"/>
  <c r="G783" i="5"/>
  <c r="F783" i="5"/>
  <c r="D783" i="5"/>
  <c r="G768" i="5"/>
  <c r="F768" i="5"/>
  <c r="D768" i="5"/>
  <c r="G753" i="5"/>
  <c r="F753" i="5"/>
  <c r="D753" i="5"/>
  <c r="G732" i="5"/>
  <c r="F732" i="5"/>
  <c r="D732" i="5"/>
  <c r="G718" i="5"/>
  <c r="F718" i="5"/>
  <c r="D718" i="5"/>
  <c r="G702" i="5"/>
  <c r="F702" i="5"/>
  <c r="D702" i="5"/>
  <c r="G683" i="5"/>
  <c r="F683" i="5"/>
  <c r="D683" i="5"/>
  <c r="G664" i="5"/>
  <c r="F664" i="5"/>
  <c r="D664" i="5"/>
  <c r="G649" i="5"/>
  <c r="F649" i="5"/>
  <c r="D649" i="5"/>
  <c r="G628" i="5"/>
  <c r="F628" i="5"/>
  <c r="D628" i="5"/>
  <c r="G609" i="5"/>
  <c r="F609" i="5"/>
  <c r="D609" i="5"/>
  <c r="G591" i="5"/>
  <c r="F591" i="5"/>
  <c r="D591" i="5"/>
  <c r="G574" i="5"/>
  <c r="F574" i="5"/>
  <c r="D574" i="5"/>
  <c r="G563" i="5"/>
  <c r="F563" i="5"/>
  <c r="D563" i="5"/>
  <c r="G542" i="5"/>
  <c r="F542" i="5"/>
  <c r="D542" i="5"/>
  <c r="G528" i="5"/>
  <c r="F528" i="5"/>
  <c r="D528" i="5"/>
  <c r="G514" i="5"/>
  <c r="F514" i="5"/>
  <c r="D514" i="5"/>
  <c r="G492" i="5"/>
  <c r="F492" i="5"/>
  <c r="D492" i="5"/>
  <c r="G477" i="5"/>
  <c r="F477" i="5"/>
  <c r="D477" i="5"/>
  <c r="G462" i="5"/>
  <c r="F462" i="5"/>
  <c r="D462" i="5"/>
  <c r="G440" i="5"/>
  <c r="F440" i="5"/>
  <c r="D440" i="5"/>
  <c r="G423" i="5"/>
  <c r="F423" i="5"/>
  <c r="D423" i="5"/>
  <c r="G406" i="5"/>
  <c r="F406" i="5"/>
  <c r="D406" i="5"/>
  <c r="G389" i="5"/>
  <c r="F389" i="5"/>
  <c r="D389" i="5"/>
  <c r="G370" i="5"/>
  <c r="F370" i="5"/>
  <c r="D370" i="5"/>
  <c r="G351" i="5"/>
  <c r="F351" i="5"/>
  <c r="D351" i="5"/>
  <c r="G330" i="5"/>
  <c r="F330" i="5"/>
  <c r="D330" i="5"/>
  <c r="G307" i="5"/>
  <c r="F307" i="5"/>
  <c r="D307" i="5"/>
  <c r="G290" i="5"/>
  <c r="F290" i="5"/>
  <c r="D290" i="5"/>
  <c r="G268" i="5"/>
  <c r="F268" i="5"/>
  <c r="D268" i="5"/>
  <c r="G245" i="5"/>
  <c r="F245" i="5"/>
  <c r="D245" i="5"/>
  <c r="G233" i="5"/>
  <c r="F233" i="5"/>
  <c r="D233" i="5"/>
  <c r="G214" i="5"/>
  <c r="F214" i="5"/>
  <c r="D214" i="5"/>
  <c r="G195" i="5"/>
  <c r="F195" i="5"/>
  <c r="D195" i="5"/>
  <c r="G177" i="5"/>
  <c r="F177" i="5"/>
  <c r="D177" i="5"/>
  <c r="G164" i="5"/>
  <c r="F164" i="5"/>
  <c r="D164" i="5"/>
  <c r="G143" i="5"/>
  <c r="F143" i="5"/>
  <c r="D143" i="5"/>
  <c r="G124" i="5"/>
  <c r="F124" i="5"/>
  <c r="D124" i="5"/>
  <c r="G110" i="5"/>
  <c r="F110" i="5"/>
  <c r="D110" i="5"/>
  <c r="G91" i="5"/>
  <c r="F91" i="5"/>
  <c r="D91" i="5"/>
  <c r="G72" i="5"/>
  <c r="F72" i="5"/>
  <c r="D72" i="5"/>
  <c r="G55" i="5"/>
  <c r="F55" i="5"/>
  <c r="D55" i="5"/>
  <c r="G39" i="5"/>
  <c r="F39" i="5"/>
  <c r="D39" i="5"/>
  <c r="G25" i="5"/>
  <c r="F25" i="5"/>
  <c r="D25" i="5"/>
  <c r="D10" i="4"/>
  <c r="G10" i="4"/>
  <c r="F6" i="4"/>
  <c r="D6" i="3"/>
  <c r="D6" i="4"/>
  <c r="F10" i="3"/>
  <c r="D10" i="3"/>
  <c r="G6" i="4"/>
  <c r="G10" i="3"/>
  <c r="G6" i="3"/>
  <c r="F6" i="3"/>
  <c r="F10" i="4"/>
</calcChain>
</file>

<file path=xl/sharedStrings.xml><?xml version="1.0" encoding="utf-8"?>
<sst xmlns="http://schemas.openxmlformats.org/spreadsheetml/2006/main" count="1413" uniqueCount="138">
  <si>
    <t>EXCLUSIVE BEST CHANGE KFT 2024 FEBRUAR HAVI FORGALMA</t>
  </si>
  <si>
    <t>VALUTA NEME</t>
  </si>
  <si>
    <t>VALUTA VÉTEL</t>
  </si>
  <si>
    <t>VALUTA ELADÁS</t>
  </si>
  <si>
    <t>VALUTA ÁTADÁS</t>
  </si>
  <si>
    <t>VALUTA ÁTVÉTEL</t>
  </si>
  <si>
    <t>ÖSSZEGE</t>
  </si>
  <si>
    <t>FT ÉRTÉKE</t>
  </si>
  <si>
    <t>KÉSZPÉNZES</t>
  </si>
  <si>
    <t>BANKKÁRTYÁS</t>
  </si>
  <si>
    <t>EXCLUSIVE EAST CHANGE KFT 2024 FEBRUAR HAVI FORGALMA</t>
  </si>
  <si>
    <t>EXCLUSIVE PANNON CHANGE KFT 2024 FEBRUAR HAVI FORGALMA</t>
  </si>
  <si>
    <t>EXCLUSIVE EXPRESSZ ZALOG KFT 2024 FEBRUAR HAVI FORGALMA</t>
  </si>
  <si>
    <t>SZEKSZÁRDI KÖRZET</t>
  </si>
  <si>
    <t>10. SZEKSZÁRD ÉRTÉKTÁR</t>
  </si>
  <si>
    <t>AUD</t>
  </si>
  <si>
    <t>BRL</t>
  </si>
  <si>
    <t>CAD</t>
  </si>
  <si>
    <t>CHF</t>
  </si>
  <si>
    <t>CNY</t>
  </si>
  <si>
    <t>CZK</t>
  </si>
  <si>
    <t>EUR</t>
  </si>
  <si>
    <t>GBP</t>
  </si>
  <si>
    <t>HUF</t>
  </si>
  <si>
    <t>JPY</t>
  </si>
  <si>
    <t>NZD</t>
  </si>
  <si>
    <t>PLN</t>
  </si>
  <si>
    <t>RON</t>
  </si>
  <si>
    <t>RUB</t>
  </si>
  <si>
    <t>THB</t>
  </si>
  <si>
    <t>TRY</t>
  </si>
  <si>
    <t>USD</t>
  </si>
  <si>
    <t>ÖSSZESEN:</t>
  </si>
  <si>
    <t>11. BONYHÁD</t>
  </si>
  <si>
    <t>RSD</t>
  </si>
  <si>
    <t>12. SZEKSZÁRD BELVÁROS</t>
  </si>
  <si>
    <t>ILS</t>
  </si>
  <si>
    <t>14. PAKS TESCO</t>
  </si>
  <si>
    <t>BGN</t>
  </si>
  <si>
    <t>16. SZEKSZÁRD TESCO</t>
  </si>
  <si>
    <t>17. BAJA TESCO</t>
  </si>
  <si>
    <t>99. MOHÁCS TESCO</t>
  </si>
  <si>
    <t>100. KALOCSA BELVÁROS</t>
  </si>
  <si>
    <t>SZEGEDI KÖRZET</t>
  </si>
  <si>
    <t>20. SZEGED ÉRTÉKTÁR</t>
  </si>
  <si>
    <t>MXN</t>
  </si>
  <si>
    <t>22. SZEGED PRAKTIKER</t>
  </si>
  <si>
    <t>23. SZENTES TESCO</t>
  </si>
  <si>
    <t>BAM</t>
  </si>
  <si>
    <t>26. SZEGED MÓRA TESCO</t>
  </si>
  <si>
    <t>27. SZEGED TESCO</t>
  </si>
  <si>
    <t>33. SZEGED ÁRKÁD-2</t>
  </si>
  <si>
    <t>35. SZEGE TISZA-SAROK</t>
  </si>
  <si>
    <t>UAH</t>
  </si>
  <si>
    <t>36. SZEGED TISZA LAJOS</t>
  </si>
  <si>
    <t>38. HÓDMEZŐVÁSÁRHELY</t>
  </si>
  <si>
    <t>39. SZEGED ÁRKÁD</t>
  </si>
  <si>
    <t>KECSKEMÉTI KÖRZET</t>
  </si>
  <si>
    <t>40. KECSKEMÉT ÉRTÉKTÁR</t>
  </si>
  <si>
    <t>41. SZOLNOK CORA</t>
  </si>
  <si>
    <t>43. KECSKEMÉT ALFÖLD</t>
  </si>
  <si>
    <t>44. CEGLÉD</t>
  </si>
  <si>
    <t>45. KISKUNHALAS TESCO</t>
  </si>
  <si>
    <t>46. KECSKEMÉT TESCO</t>
  </si>
  <si>
    <t>47. SZOLNOK PLAZA</t>
  </si>
  <si>
    <t>49. KISKUNFÉLEGYHÁZA TESCO</t>
  </si>
  <si>
    <t>89. KISKÖRÖS TESCO</t>
  </si>
  <si>
    <t>DEBRECENI KÖRZET</t>
  </si>
  <si>
    <t>50. DEBRECEN ÉRTÉKTÁR</t>
  </si>
  <si>
    <t>52. HAJDÚBÖSZÖRMÉNY TESCO</t>
  </si>
  <si>
    <t>56. KARCAG TESCO</t>
  </si>
  <si>
    <t>60. DEBRECEN TESCO</t>
  </si>
  <si>
    <t>66. HAJDÚSZOBOSZLÓ BELVÁROS</t>
  </si>
  <si>
    <t>67. BERETTYÓ TESCO</t>
  </si>
  <si>
    <t>90. DEBRECEN BAJCSY-2</t>
  </si>
  <si>
    <t>91. DEBRECEN BAJCSY</t>
  </si>
  <si>
    <t>92. DEBRECEN PLAZA</t>
  </si>
  <si>
    <t>93. TISZAÚJVÁROS TESCO</t>
  </si>
  <si>
    <t>94. DEBRECEN KÁLVIN</t>
  </si>
  <si>
    <t>NYÍREGYHÁZAI KÖRZET</t>
  </si>
  <si>
    <t>57. NYÍREGYHÁZA TESCO</t>
  </si>
  <si>
    <t>61. NYÍREGYHÁZA CORSÓ</t>
  </si>
  <si>
    <t>62. NÍREGYHÁZA PLAZA</t>
  </si>
  <si>
    <t>63. NYÍREGYHÁZA ÉRTÉKTÁR</t>
  </si>
  <si>
    <t>64. KISVÁRDA TESCO</t>
  </si>
  <si>
    <t>81. NXYRBÁTOR</t>
  </si>
  <si>
    <t>84. MÁTÉSZALKA</t>
  </si>
  <si>
    <t>85. NYÍREGYHÁZA PIROSHÁZ</t>
  </si>
  <si>
    <t>86. NYÍREGYHÁZA ORSZÁGZÁSZLÓ</t>
  </si>
  <si>
    <t>87. SÁTORALJAÚJHELY TESCO</t>
  </si>
  <si>
    <t>BÉKÉSCSABAI KÖRZET</t>
  </si>
  <si>
    <t>71. GYULA</t>
  </si>
  <si>
    <t>74. BÉKÉSCSABA TESCO</t>
  </si>
  <si>
    <t>75. BÉKÉSCSABA ÉRTÉKTÁR</t>
  </si>
  <si>
    <t>76. BÉKÉSCSABA BELVÁROS</t>
  </si>
  <si>
    <t>77. GYULA TESCO</t>
  </si>
  <si>
    <t>79. SZARVAS TESCO</t>
  </si>
  <si>
    <t>105. BÉKÉSCSABA BELVÁROS-2</t>
  </si>
  <si>
    <t>PÉCSI KÖRZET</t>
  </si>
  <si>
    <t>13. PÉCS TESCO</t>
  </si>
  <si>
    <t>18. KOMLÓ TESCO</t>
  </si>
  <si>
    <t>120. PÉCS ÉRTÉKTÁR</t>
  </si>
  <si>
    <t>124. PÉCS IRGALMASOK</t>
  </si>
  <si>
    <t>125. PÉCS ÁRKÁD</t>
  </si>
  <si>
    <t>126. PÉCS ÁRKÁD-2</t>
  </si>
  <si>
    <t>128. SZIGETVÁR</t>
  </si>
  <si>
    <t>143. PÉCS PLAZA</t>
  </si>
  <si>
    <t>KAPOSVÁRI KÖRZET</t>
  </si>
  <si>
    <t>9. DOMBÓVÁR</t>
  </si>
  <si>
    <t>19. DOMBÓVÁR SPAR</t>
  </si>
  <si>
    <t>136. MARCALI</t>
  </si>
  <si>
    <t>139. SIÓFOK TESCO</t>
  </si>
  <si>
    <t>141. NAGYATÁD</t>
  </si>
  <si>
    <t>144. KEPOSVÁR CORSO</t>
  </si>
  <si>
    <t>145. KAPOSVÁR ÉRTÉKTÁR</t>
  </si>
  <si>
    <t>146. SIÓFOK PLAZA</t>
  </si>
  <si>
    <t>149. KAPOSVÁR TESCO</t>
  </si>
  <si>
    <t>150. KAPOSVÁR DOROTTYA</t>
  </si>
  <si>
    <t>Best Change Kft Összesítése:</t>
  </si>
  <si>
    <t>Ö S S Z E S E N :</t>
  </si>
  <si>
    <t>East Change Kft Összesítése:</t>
  </si>
  <si>
    <t>Pannon Change Kft Összesítése:</t>
  </si>
  <si>
    <t>ZÁLOGI KÖRZET</t>
  </si>
  <si>
    <t>151. SZEGED KOSSUTH</t>
  </si>
  <si>
    <t>152. SZEKSZÁRD EXPRESSZ</t>
  </si>
  <si>
    <t>153. PÉCS, RÁKÓCZI-2</t>
  </si>
  <si>
    <t>154. PÉCS DIANA</t>
  </si>
  <si>
    <t>156. KAPOSVÁR EXPRESSZ</t>
  </si>
  <si>
    <t>159. PÉCS YBL</t>
  </si>
  <si>
    <t>160. SZOLNOK PELIKÁN</t>
  </si>
  <si>
    <t>162. PÉCS RÁKÓCZI</t>
  </si>
  <si>
    <t>163. NYÍREGYHÁZA EXPRESSZ</t>
  </si>
  <si>
    <t>164. HÓDMEZŐ EXPRESSZ</t>
  </si>
  <si>
    <t>165. DEBRECEN CSAPÓ</t>
  </si>
  <si>
    <t>166. KISVÁRDA EXPRESSZ</t>
  </si>
  <si>
    <t>167. Mátészalka</t>
  </si>
  <si>
    <t>168. FEHÉRGYARMAT EXPRESSZ</t>
  </si>
  <si>
    <t>Expressz Zalog Kft Összesítése: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</si>
</sst>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i/>
      <sz val="11"/>
      <color theme="1"/>
      <name val="Arial"/>
      <family val="2"/>
      <charset val="238"/>
    </font>
    <font>
      <b/>
      <i/>
      <sz val="16"/>
      <color rgb="FF008080"/>
      <name val="Arial"/>
      <family val="2"/>
      <charset val="238"/>
    </font>
    <font>
      <b/>
      <i/>
      <sz val="12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i/>
      <sz val="14"/>
      <color theme="1"/>
      <name val="Arial"/>
      <family val="2"/>
      <charset val="238"/>
    </font>
    <font>
      <b/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i/>
      <sz val="12"/>
      <color rgb="FF00808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i/>
      <sz val="12"/>
      <color theme="1"/>
      <name val="Arial"/>
      <family val="2"/>
      <charset val="238"/>
    </font>
    <font>
      <b/>
      <i/>
      <sz val="12"/>
      <color rgb="FFFF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B0FF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B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8" xfId="0" applyBorder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5" borderId="0" xfId="0" applyFill="1"/>
    <xf numFmtId="164" fontId="9" fillId="0" borderId="0" xfId="0" applyNumberFormat="1" applyFont="1" applyAlignment="1">
      <alignment horizontal="center"/>
    </xf>
    <xf numFmtId="164" fontId="9" fillId="5" borderId="0" xfId="0" applyNumberFormat="1" applyFon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8" fillId="5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6" borderId="0" xfId="0" applyFont="1" applyFill="1" applyAlignment="1">
      <alignment horizontal="center"/>
    </xf>
    <xf numFmtId="164" fontId="12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5DA2-5B10-453E-B687-E364BDB82500}">
  <dimension ref="B2:I1284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4.77734375" customWidth="1"/>
    <col min="2" max="2" width="17.77734375" customWidth="1"/>
    <col min="3" max="9" width="18.77734375" customWidth="1"/>
  </cols>
  <sheetData>
    <row r="2" spans="2:9" ht="20.399999999999999" x14ac:dyDescent="0.35">
      <c r="B2" s="24" t="s">
        <v>0</v>
      </c>
      <c r="C2" s="24"/>
      <c r="D2" s="24"/>
      <c r="E2" s="24"/>
      <c r="F2" s="24"/>
      <c r="G2" s="24"/>
      <c r="H2" s="24"/>
      <c r="I2" s="24"/>
    </row>
    <row r="3" spans="2:9" ht="15" thickBot="1" x14ac:dyDescent="0.35"/>
    <row r="4" spans="2:9" ht="16.2" thickTop="1" x14ac:dyDescent="0.3">
      <c r="B4" s="25" t="s">
        <v>1</v>
      </c>
      <c r="C4" s="27" t="s">
        <v>2</v>
      </c>
      <c r="D4" s="27"/>
      <c r="E4" s="28" t="s">
        <v>3</v>
      </c>
      <c r="F4" s="27"/>
      <c r="G4" s="29"/>
      <c r="H4" s="25" t="s">
        <v>4</v>
      </c>
      <c r="I4" s="30" t="s">
        <v>5</v>
      </c>
    </row>
    <row r="5" spans="2:9" ht="15" thickBot="1" x14ac:dyDescent="0.35">
      <c r="B5" s="26"/>
      <c r="C5" s="2" t="s">
        <v>6</v>
      </c>
      <c r="D5" s="2" t="s">
        <v>7</v>
      </c>
      <c r="E5" s="1" t="s">
        <v>6</v>
      </c>
      <c r="F5" s="2" t="s">
        <v>8</v>
      </c>
      <c r="G5" s="3" t="s">
        <v>9</v>
      </c>
      <c r="H5" s="26"/>
      <c r="I5" s="31"/>
    </row>
    <row r="6" spans="2:9" ht="18" thickTop="1" x14ac:dyDescent="0.3">
      <c r="B6" s="23" t="s">
        <v>13</v>
      </c>
      <c r="C6" s="23"/>
      <c r="D6" s="23"/>
      <c r="E6" s="23"/>
      <c r="F6" s="23"/>
      <c r="G6" s="23"/>
      <c r="H6" s="23"/>
      <c r="I6" s="23"/>
    </row>
    <row r="7" spans="2:9" ht="15.6" x14ac:dyDescent="0.3">
      <c r="B7" s="17" t="s">
        <v>14</v>
      </c>
      <c r="C7" s="17"/>
      <c r="D7" s="17"/>
    </row>
    <row r="8" spans="2:9" x14ac:dyDescent="0.3">
      <c r="B8" s="4" t="s">
        <v>15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100</v>
      </c>
    </row>
    <row r="9" spans="2:9" x14ac:dyDescent="0.3">
      <c r="B9" s="4" t="s">
        <v>16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388</v>
      </c>
      <c r="I9" s="5">
        <v>388</v>
      </c>
    </row>
    <row r="10" spans="2:9" x14ac:dyDescent="0.3">
      <c r="B10" s="4" t="s">
        <v>17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3800</v>
      </c>
      <c r="I10" s="5">
        <v>1500</v>
      </c>
    </row>
    <row r="11" spans="2:9" x14ac:dyDescent="0.3">
      <c r="B11" s="4" t="s">
        <v>18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161800</v>
      </c>
      <c r="I11" s="5">
        <v>163800</v>
      </c>
    </row>
    <row r="12" spans="2:9" x14ac:dyDescent="0.3">
      <c r="B12" s="4" t="s">
        <v>19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4500</v>
      </c>
      <c r="I12" s="5">
        <v>4500</v>
      </c>
    </row>
    <row r="13" spans="2:9" x14ac:dyDescent="0.3">
      <c r="B13" s="4" t="s">
        <v>20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106000</v>
      </c>
      <c r="I13" s="5">
        <v>95000</v>
      </c>
    </row>
    <row r="14" spans="2:9" x14ac:dyDescent="0.3">
      <c r="B14" s="4" t="s">
        <v>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1323990</v>
      </c>
      <c r="I14" s="5">
        <v>1218245</v>
      </c>
    </row>
    <row r="15" spans="2:9" x14ac:dyDescent="0.3">
      <c r="B15" s="4" t="s">
        <v>22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36550</v>
      </c>
      <c r="I15" s="5">
        <v>41700</v>
      </c>
    </row>
    <row r="16" spans="2:9" x14ac:dyDescent="0.3">
      <c r="B16" s="4" t="s">
        <v>23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639359860</v>
      </c>
      <c r="I16" s="5">
        <v>661032100</v>
      </c>
    </row>
    <row r="17" spans="2:9" x14ac:dyDescent="0.3">
      <c r="B17" s="4" t="s">
        <v>24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120000</v>
      </c>
      <c r="I17" s="5">
        <v>120000</v>
      </c>
    </row>
    <row r="18" spans="2:9" x14ac:dyDescent="0.3">
      <c r="B18" s="4" t="s">
        <v>25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300</v>
      </c>
      <c r="I18" s="5">
        <v>1000</v>
      </c>
    </row>
    <row r="19" spans="2:9" x14ac:dyDescent="0.3">
      <c r="B19" s="4" t="s">
        <v>26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34400</v>
      </c>
      <c r="I19" s="5">
        <v>33000</v>
      </c>
    </row>
    <row r="20" spans="2:9" x14ac:dyDescent="0.3">
      <c r="B20" s="4" t="s">
        <v>27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38600</v>
      </c>
      <c r="I20" s="5">
        <v>45000</v>
      </c>
    </row>
    <row r="21" spans="2:9" x14ac:dyDescent="0.3">
      <c r="B21" s="4" t="s">
        <v>28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32000</v>
      </c>
      <c r="I21" s="5">
        <v>32000</v>
      </c>
    </row>
    <row r="22" spans="2:9" x14ac:dyDescent="0.3">
      <c r="B22" s="4" t="s">
        <v>29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19500</v>
      </c>
      <c r="I22" s="5">
        <v>22000</v>
      </c>
    </row>
    <row r="23" spans="2:9" x14ac:dyDescent="0.3">
      <c r="B23" s="4" t="s">
        <v>30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35700</v>
      </c>
      <c r="I23" s="5">
        <v>50000</v>
      </c>
    </row>
    <row r="24" spans="2:9" x14ac:dyDescent="0.3">
      <c r="B24" s="4" t="s">
        <v>31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84800</v>
      </c>
      <c r="I24" s="5">
        <v>99500</v>
      </c>
    </row>
    <row r="25" spans="2:9" ht="15.6" x14ac:dyDescent="0.3">
      <c r="B25" s="18" t="s">
        <v>32</v>
      </c>
      <c r="C25" s="18"/>
      <c r="D25" s="7">
        <f>SUM(D8:D24)</f>
        <v>0</v>
      </c>
      <c r="E25" s="8"/>
      <c r="F25" s="7">
        <f>SUM(F8:F24)</f>
        <v>0</v>
      </c>
      <c r="G25" s="7">
        <f>SUM(G8:G24)</f>
        <v>0</v>
      </c>
      <c r="H25" s="6"/>
      <c r="I25" s="6"/>
    </row>
    <row r="27" spans="2:9" ht="15.6" x14ac:dyDescent="0.3">
      <c r="B27" s="17" t="s">
        <v>33</v>
      </c>
      <c r="C27" s="17"/>
      <c r="D27" s="17"/>
    </row>
    <row r="28" spans="2:9" x14ac:dyDescent="0.3">
      <c r="B28" s="4" t="s">
        <v>16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88</v>
      </c>
      <c r="I28" s="5">
        <v>0</v>
      </c>
    </row>
    <row r="29" spans="2:9" x14ac:dyDescent="0.3">
      <c r="B29" s="4" t="s">
        <v>18</v>
      </c>
      <c r="C29" s="5">
        <v>6350</v>
      </c>
      <c r="D29" s="5">
        <v>2537045</v>
      </c>
      <c r="E29" s="5">
        <v>80</v>
      </c>
      <c r="F29" s="5">
        <v>33600</v>
      </c>
      <c r="G29" s="5">
        <v>0</v>
      </c>
      <c r="H29" s="5">
        <v>6400</v>
      </c>
      <c r="I29" s="5">
        <v>0</v>
      </c>
    </row>
    <row r="30" spans="2:9" x14ac:dyDescent="0.3">
      <c r="B30" s="4" t="s">
        <v>19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1000</v>
      </c>
      <c r="I30" s="5">
        <v>0</v>
      </c>
    </row>
    <row r="31" spans="2:9" x14ac:dyDescent="0.3">
      <c r="B31" s="4" t="s">
        <v>20</v>
      </c>
      <c r="C31" s="5">
        <v>600</v>
      </c>
      <c r="D31" s="5">
        <v>8195</v>
      </c>
      <c r="E31" s="5">
        <v>7500</v>
      </c>
      <c r="F31" s="5">
        <v>121940</v>
      </c>
      <c r="G31" s="5">
        <v>8690</v>
      </c>
      <c r="H31" s="5">
        <v>0</v>
      </c>
      <c r="I31" s="5">
        <v>5000</v>
      </c>
    </row>
    <row r="32" spans="2:9" x14ac:dyDescent="0.3">
      <c r="B32" s="4" t="s">
        <v>21</v>
      </c>
      <c r="C32" s="5">
        <v>126516</v>
      </c>
      <c r="D32" s="5">
        <v>48024555</v>
      </c>
      <c r="E32" s="5">
        <v>16893</v>
      </c>
      <c r="F32" s="5">
        <v>4239588</v>
      </c>
      <c r="G32" s="5">
        <v>2456581</v>
      </c>
      <c r="H32" s="5">
        <v>108100</v>
      </c>
      <c r="I32" s="5">
        <v>0</v>
      </c>
    </row>
    <row r="33" spans="2:9" x14ac:dyDescent="0.3">
      <c r="B33" s="4" t="s">
        <v>22</v>
      </c>
      <c r="C33" s="5">
        <v>13225</v>
      </c>
      <c r="D33" s="5">
        <v>5925655</v>
      </c>
      <c r="E33" s="5">
        <v>1385</v>
      </c>
      <c r="F33" s="5">
        <v>475825</v>
      </c>
      <c r="G33" s="5">
        <v>164389</v>
      </c>
      <c r="H33" s="5">
        <v>3500</v>
      </c>
      <c r="I33" s="5">
        <v>1550</v>
      </c>
    </row>
    <row r="34" spans="2:9" x14ac:dyDescent="0.3">
      <c r="B34" s="4" t="s">
        <v>23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2200000</v>
      </c>
      <c r="I34" s="5">
        <v>47511320</v>
      </c>
    </row>
    <row r="35" spans="2:9" x14ac:dyDescent="0.3">
      <c r="B35" s="4" t="s">
        <v>26</v>
      </c>
      <c r="C35" s="5">
        <v>20</v>
      </c>
      <c r="D35" s="5">
        <v>1705</v>
      </c>
      <c r="E35" s="5">
        <v>180</v>
      </c>
      <c r="F35" s="5">
        <v>17332</v>
      </c>
      <c r="G35" s="5">
        <v>0</v>
      </c>
      <c r="H35" s="5">
        <v>0</v>
      </c>
      <c r="I35" s="5">
        <v>0</v>
      </c>
    </row>
    <row r="36" spans="2:9" x14ac:dyDescent="0.3">
      <c r="B36" s="4" t="s">
        <v>27</v>
      </c>
      <c r="C36" s="5">
        <v>1500</v>
      </c>
      <c r="D36" s="5">
        <v>110650</v>
      </c>
      <c r="E36" s="5">
        <v>4018</v>
      </c>
      <c r="F36" s="5">
        <v>275430</v>
      </c>
      <c r="G36" s="5">
        <v>64425</v>
      </c>
      <c r="H36" s="5">
        <v>0</v>
      </c>
      <c r="I36" s="5">
        <v>2000</v>
      </c>
    </row>
    <row r="37" spans="2:9" x14ac:dyDescent="0.3">
      <c r="B37" s="4" t="s">
        <v>34</v>
      </c>
      <c r="C37" s="5">
        <v>0</v>
      </c>
      <c r="D37" s="5">
        <v>0</v>
      </c>
      <c r="E37" s="5">
        <v>6200</v>
      </c>
      <c r="F37" s="5">
        <v>25110</v>
      </c>
      <c r="G37" s="5">
        <v>0</v>
      </c>
      <c r="H37" s="5">
        <v>0</v>
      </c>
      <c r="I37" s="5">
        <v>0</v>
      </c>
    </row>
    <row r="38" spans="2:9" x14ac:dyDescent="0.3">
      <c r="B38" s="4" t="s">
        <v>31</v>
      </c>
      <c r="C38" s="5">
        <v>4213</v>
      </c>
      <c r="D38" s="5">
        <v>1471125</v>
      </c>
      <c r="E38" s="5">
        <v>8330</v>
      </c>
      <c r="F38" s="5">
        <v>2905670</v>
      </c>
      <c r="G38" s="5">
        <v>147995</v>
      </c>
      <c r="H38" s="5">
        <v>0</v>
      </c>
      <c r="I38" s="5">
        <v>5800</v>
      </c>
    </row>
    <row r="39" spans="2:9" ht="15.6" x14ac:dyDescent="0.3">
      <c r="B39" s="18" t="s">
        <v>32</v>
      </c>
      <c r="C39" s="18"/>
      <c r="D39" s="7">
        <f>SUM(D28:D38)</f>
        <v>58078930</v>
      </c>
      <c r="E39" s="8"/>
      <c r="F39" s="7">
        <f>SUM(F28:F38)</f>
        <v>8094495</v>
      </c>
      <c r="G39" s="7">
        <f>SUM(G28:G38)</f>
        <v>2842080</v>
      </c>
      <c r="H39" s="6"/>
      <c r="I39" s="6"/>
    </row>
    <row r="41" spans="2:9" ht="15.6" x14ac:dyDescent="0.3">
      <c r="B41" s="17" t="s">
        <v>35</v>
      </c>
      <c r="C41" s="17"/>
      <c r="D41" s="17"/>
    </row>
    <row r="42" spans="2:9" x14ac:dyDescent="0.3">
      <c r="B42" s="4" t="s">
        <v>17</v>
      </c>
      <c r="C42" s="5">
        <v>1300</v>
      </c>
      <c r="D42" s="5">
        <v>333430</v>
      </c>
      <c r="E42" s="5">
        <v>480</v>
      </c>
      <c r="F42" s="5">
        <v>129740</v>
      </c>
      <c r="G42" s="5">
        <v>0</v>
      </c>
      <c r="H42" s="5">
        <v>1000</v>
      </c>
      <c r="I42" s="5">
        <v>300</v>
      </c>
    </row>
    <row r="43" spans="2:9" x14ac:dyDescent="0.3">
      <c r="B43" s="4" t="s">
        <v>18</v>
      </c>
      <c r="C43" s="5">
        <v>9850</v>
      </c>
      <c r="D43" s="5">
        <v>3984410</v>
      </c>
      <c r="E43" s="5">
        <v>2080</v>
      </c>
      <c r="F43" s="5">
        <v>853620</v>
      </c>
      <c r="G43" s="5">
        <v>0</v>
      </c>
      <c r="H43" s="5">
        <v>11000</v>
      </c>
      <c r="I43" s="5">
        <v>0</v>
      </c>
    </row>
    <row r="44" spans="2:9" x14ac:dyDescent="0.3">
      <c r="B44" s="4" t="s">
        <v>19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500</v>
      </c>
      <c r="I44" s="5">
        <v>0</v>
      </c>
    </row>
    <row r="45" spans="2:9" x14ac:dyDescent="0.3">
      <c r="B45" s="4" t="s">
        <v>20</v>
      </c>
      <c r="C45" s="5">
        <v>0</v>
      </c>
      <c r="D45" s="5">
        <v>0</v>
      </c>
      <c r="E45" s="5">
        <v>8900</v>
      </c>
      <c r="F45" s="5">
        <v>149001</v>
      </c>
      <c r="G45" s="5">
        <v>0</v>
      </c>
      <c r="H45" s="5">
        <v>0</v>
      </c>
      <c r="I45" s="5">
        <v>5000</v>
      </c>
    </row>
    <row r="46" spans="2:9" x14ac:dyDescent="0.3">
      <c r="B46" s="4" t="s">
        <v>21</v>
      </c>
      <c r="C46" s="5">
        <v>253907</v>
      </c>
      <c r="D46" s="5">
        <v>97336436</v>
      </c>
      <c r="E46" s="5">
        <v>109523</v>
      </c>
      <c r="F46" s="5">
        <v>42607926</v>
      </c>
      <c r="G46" s="5">
        <v>0</v>
      </c>
      <c r="H46" s="5">
        <v>191000</v>
      </c>
      <c r="I46" s="5">
        <v>46680</v>
      </c>
    </row>
    <row r="47" spans="2:9" x14ac:dyDescent="0.3">
      <c r="B47" s="4" t="s">
        <v>22</v>
      </c>
      <c r="C47" s="5">
        <v>6450</v>
      </c>
      <c r="D47" s="5">
        <v>2862323</v>
      </c>
      <c r="E47" s="5">
        <v>3625</v>
      </c>
      <c r="F47" s="5">
        <v>1648365</v>
      </c>
      <c r="G47" s="5">
        <v>0</v>
      </c>
      <c r="H47" s="5">
        <v>4800</v>
      </c>
      <c r="I47" s="5">
        <v>1900</v>
      </c>
    </row>
    <row r="48" spans="2:9" x14ac:dyDescent="0.3">
      <c r="B48" s="4" t="s">
        <v>23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27057245</v>
      </c>
      <c r="I48" s="5">
        <v>89046615</v>
      </c>
    </row>
    <row r="49" spans="2:9" x14ac:dyDescent="0.3">
      <c r="B49" s="4" t="s">
        <v>36</v>
      </c>
      <c r="C49" s="5">
        <v>20</v>
      </c>
      <c r="D49" s="5">
        <v>1760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</row>
    <row r="50" spans="2:9" x14ac:dyDescent="0.3">
      <c r="B50" s="4" t="s">
        <v>26</v>
      </c>
      <c r="C50" s="5">
        <v>0</v>
      </c>
      <c r="D50" s="5">
        <v>0</v>
      </c>
      <c r="E50" s="5">
        <v>1050</v>
      </c>
      <c r="F50" s="5">
        <v>98127</v>
      </c>
      <c r="G50" s="5">
        <v>0</v>
      </c>
      <c r="H50" s="5">
        <v>0</v>
      </c>
      <c r="I50" s="5">
        <v>1300</v>
      </c>
    </row>
    <row r="51" spans="2:9" x14ac:dyDescent="0.3">
      <c r="B51" s="4" t="s">
        <v>27</v>
      </c>
      <c r="C51" s="5">
        <v>665</v>
      </c>
      <c r="D51" s="5">
        <v>49499</v>
      </c>
      <c r="E51" s="5">
        <v>763</v>
      </c>
      <c r="F51" s="5">
        <v>60665</v>
      </c>
      <c r="G51" s="5">
        <v>0</v>
      </c>
      <c r="H51" s="5">
        <v>0</v>
      </c>
      <c r="I51" s="5">
        <v>500</v>
      </c>
    </row>
    <row r="52" spans="2:9" x14ac:dyDescent="0.3">
      <c r="B52" s="4" t="s">
        <v>34</v>
      </c>
      <c r="C52" s="5">
        <v>3480</v>
      </c>
      <c r="D52" s="5">
        <v>10440</v>
      </c>
      <c r="E52" s="5">
        <v>5000</v>
      </c>
      <c r="F52" s="5">
        <v>20250</v>
      </c>
      <c r="G52" s="5">
        <v>0</v>
      </c>
      <c r="H52" s="5">
        <v>0</v>
      </c>
      <c r="I52" s="5">
        <v>0</v>
      </c>
    </row>
    <row r="53" spans="2:9" x14ac:dyDescent="0.3">
      <c r="B53" s="4" t="s">
        <v>28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27000</v>
      </c>
      <c r="I53" s="5">
        <v>5000</v>
      </c>
    </row>
    <row r="54" spans="2:9" x14ac:dyDescent="0.3">
      <c r="B54" s="4" t="s">
        <v>31</v>
      </c>
      <c r="C54" s="5">
        <v>9000</v>
      </c>
      <c r="D54" s="5">
        <v>3199057</v>
      </c>
      <c r="E54" s="5">
        <v>9508</v>
      </c>
      <c r="F54" s="5">
        <v>3440621</v>
      </c>
      <c r="G54" s="5">
        <v>0</v>
      </c>
      <c r="H54" s="5">
        <v>6000</v>
      </c>
      <c r="I54" s="5">
        <v>4800</v>
      </c>
    </row>
    <row r="55" spans="2:9" ht="15.6" x14ac:dyDescent="0.3">
      <c r="B55" s="18" t="s">
        <v>32</v>
      </c>
      <c r="C55" s="18"/>
      <c r="D55" s="7">
        <f>SUM(D42:D54)</f>
        <v>107777355</v>
      </c>
      <c r="E55" s="8"/>
      <c r="F55" s="7">
        <f>SUM(F42:F54)</f>
        <v>49008315</v>
      </c>
      <c r="G55" s="7">
        <f>SUM(G42:G54)</f>
        <v>0</v>
      </c>
      <c r="H55" s="6"/>
      <c r="I55" s="6"/>
    </row>
    <row r="57" spans="2:9" ht="15.6" x14ac:dyDescent="0.3">
      <c r="B57" s="17" t="s">
        <v>37</v>
      </c>
      <c r="C57" s="17"/>
      <c r="D57" s="17"/>
    </row>
    <row r="58" spans="2:9" x14ac:dyDescent="0.3">
      <c r="B58" s="4" t="s">
        <v>38</v>
      </c>
      <c r="C58" s="5">
        <v>0</v>
      </c>
      <c r="D58" s="5">
        <v>0</v>
      </c>
      <c r="E58" s="5">
        <v>250</v>
      </c>
      <c r="F58" s="5">
        <v>0</v>
      </c>
      <c r="G58" s="5">
        <v>52215</v>
      </c>
      <c r="H58" s="5">
        <v>0</v>
      </c>
      <c r="I58" s="5">
        <v>0</v>
      </c>
    </row>
    <row r="59" spans="2:9" x14ac:dyDescent="0.3">
      <c r="B59" s="4" t="s">
        <v>18</v>
      </c>
      <c r="C59" s="5">
        <v>6900</v>
      </c>
      <c r="D59" s="5">
        <v>2756720</v>
      </c>
      <c r="E59" s="5">
        <v>580</v>
      </c>
      <c r="F59" s="5">
        <v>92275</v>
      </c>
      <c r="G59" s="5">
        <v>150510</v>
      </c>
      <c r="H59" s="5">
        <v>6600</v>
      </c>
      <c r="I59" s="5">
        <v>0</v>
      </c>
    </row>
    <row r="60" spans="2:9" x14ac:dyDescent="0.3">
      <c r="B60" s="4" t="s">
        <v>19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500</v>
      </c>
      <c r="I60" s="5">
        <v>0</v>
      </c>
    </row>
    <row r="61" spans="2:9" x14ac:dyDescent="0.3">
      <c r="B61" s="4" t="s">
        <v>20</v>
      </c>
      <c r="C61" s="5">
        <v>100</v>
      </c>
      <c r="D61" s="5">
        <v>1350</v>
      </c>
      <c r="E61" s="5">
        <v>26800</v>
      </c>
      <c r="F61" s="5">
        <v>34930</v>
      </c>
      <c r="G61" s="5">
        <v>430605</v>
      </c>
      <c r="H61" s="5">
        <v>0</v>
      </c>
      <c r="I61" s="5">
        <v>30000</v>
      </c>
    </row>
    <row r="62" spans="2:9" x14ac:dyDescent="0.3">
      <c r="B62" s="4" t="s">
        <v>21</v>
      </c>
      <c r="C62" s="5">
        <v>90995</v>
      </c>
      <c r="D62" s="5">
        <v>34556516</v>
      </c>
      <c r="E62" s="5">
        <v>63979</v>
      </c>
      <c r="F62" s="5">
        <v>17071522</v>
      </c>
      <c r="G62" s="5">
        <v>8144028</v>
      </c>
      <c r="H62" s="5">
        <v>37000</v>
      </c>
      <c r="I62" s="5">
        <v>11000</v>
      </c>
    </row>
    <row r="63" spans="2:9" x14ac:dyDescent="0.3">
      <c r="B63" s="4" t="s">
        <v>22</v>
      </c>
      <c r="C63" s="5">
        <v>655</v>
      </c>
      <c r="D63" s="5">
        <v>290055</v>
      </c>
      <c r="E63" s="5">
        <v>3765</v>
      </c>
      <c r="F63" s="5">
        <v>363680</v>
      </c>
      <c r="G63" s="5">
        <v>1375355</v>
      </c>
      <c r="H63" s="5">
        <v>800</v>
      </c>
      <c r="I63" s="5">
        <v>3900</v>
      </c>
    </row>
    <row r="64" spans="2:9" x14ac:dyDescent="0.3">
      <c r="B64" s="4" t="s">
        <v>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8000000</v>
      </c>
      <c r="I64" s="5">
        <v>24151280</v>
      </c>
    </row>
    <row r="65" spans="2:9" x14ac:dyDescent="0.3">
      <c r="B65" s="4" t="s">
        <v>26</v>
      </c>
      <c r="C65" s="5">
        <v>90</v>
      </c>
      <c r="D65" s="5">
        <v>7750</v>
      </c>
      <c r="E65" s="5">
        <v>6460</v>
      </c>
      <c r="F65" s="5">
        <v>364795</v>
      </c>
      <c r="G65" s="5">
        <v>260680</v>
      </c>
      <c r="H65" s="5">
        <v>0</v>
      </c>
      <c r="I65" s="5">
        <v>7300</v>
      </c>
    </row>
    <row r="66" spans="2:9" x14ac:dyDescent="0.3">
      <c r="B66" s="4" t="s">
        <v>27</v>
      </c>
      <c r="C66" s="5">
        <v>1202</v>
      </c>
      <c r="D66" s="5">
        <v>88823</v>
      </c>
      <c r="E66" s="5">
        <v>6668</v>
      </c>
      <c r="F66" s="5">
        <v>237605</v>
      </c>
      <c r="G66" s="5">
        <v>322410</v>
      </c>
      <c r="H66" s="5">
        <v>0</v>
      </c>
      <c r="I66" s="5">
        <v>6500</v>
      </c>
    </row>
    <row r="67" spans="2:9" x14ac:dyDescent="0.3">
      <c r="B67" s="4" t="s">
        <v>34</v>
      </c>
      <c r="C67" s="5">
        <v>440</v>
      </c>
      <c r="D67" s="5">
        <v>1320</v>
      </c>
      <c r="E67" s="5">
        <v>2000</v>
      </c>
      <c r="F67" s="5">
        <v>8100</v>
      </c>
      <c r="G67" s="5">
        <v>0</v>
      </c>
      <c r="H67" s="5">
        <v>0</v>
      </c>
      <c r="I67" s="5">
        <v>0</v>
      </c>
    </row>
    <row r="68" spans="2:9" x14ac:dyDescent="0.3">
      <c r="B68" s="4" t="s">
        <v>28</v>
      </c>
      <c r="C68" s="5">
        <v>510</v>
      </c>
      <c r="D68" s="5">
        <v>1022</v>
      </c>
      <c r="E68" s="5">
        <v>2000</v>
      </c>
      <c r="F68" s="5">
        <v>10000</v>
      </c>
      <c r="G68" s="5">
        <v>0</v>
      </c>
      <c r="H68" s="5">
        <v>0</v>
      </c>
      <c r="I68" s="5">
        <v>0</v>
      </c>
    </row>
    <row r="69" spans="2:9" x14ac:dyDescent="0.3">
      <c r="B69" s="4" t="s">
        <v>29</v>
      </c>
      <c r="C69" s="5">
        <v>0</v>
      </c>
      <c r="D69" s="5">
        <v>0</v>
      </c>
      <c r="E69" s="5">
        <v>18440</v>
      </c>
      <c r="F69" s="5">
        <v>255946</v>
      </c>
      <c r="G69" s="5">
        <v>0</v>
      </c>
      <c r="H69" s="5">
        <v>0</v>
      </c>
      <c r="I69" s="5">
        <v>19000</v>
      </c>
    </row>
    <row r="70" spans="2:9" x14ac:dyDescent="0.3">
      <c r="B70" s="4" t="s">
        <v>30</v>
      </c>
      <c r="C70" s="5">
        <v>2085</v>
      </c>
      <c r="D70" s="5">
        <v>20935</v>
      </c>
      <c r="E70" s="5">
        <v>10600</v>
      </c>
      <c r="F70" s="5">
        <v>147690</v>
      </c>
      <c r="G70" s="5">
        <v>0</v>
      </c>
      <c r="H70" s="5">
        <v>0</v>
      </c>
      <c r="I70" s="5">
        <v>15700</v>
      </c>
    </row>
    <row r="71" spans="2:9" x14ac:dyDescent="0.3">
      <c r="B71" s="4" t="s">
        <v>31</v>
      </c>
      <c r="C71" s="5">
        <v>9718</v>
      </c>
      <c r="D71" s="5">
        <v>3415554</v>
      </c>
      <c r="E71" s="5">
        <v>27121</v>
      </c>
      <c r="F71" s="5">
        <v>6884817</v>
      </c>
      <c r="G71" s="5">
        <v>3082562</v>
      </c>
      <c r="H71" s="5">
        <v>2000</v>
      </c>
      <c r="I71" s="5">
        <v>19450</v>
      </c>
    </row>
    <row r="72" spans="2:9" ht="15.6" x14ac:dyDescent="0.3">
      <c r="B72" s="18" t="s">
        <v>32</v>
      </c>
      <c r="C72" s="18"/>
      <c r="D72" s="7">
        <f>SUM(D58:D71)</f>
        <v>41140045</v>
      </c>
      <c r="E72" s="8"/>
      <c r="F72" s="7">
        <f>SUM(F58:F71)</f>
        <v>25471360</v>
      </c>
      <c r="G72" s="7">
        <f>SUM(G58:G71)</f>
        <v>13818365</v>
      </c>
      <c r="H72" s="6"/>
      <c r="I72" s="6"/>
    </row>
    <row r="74" spans="2:9" ht="15.6" x14ac:dyDescent="0.3">
      <c r="B74" s="17" t="s">
        <v>39</v>
      </c>
      <c r="C74" s="17"/>
      <c r="D74" s="17"/>
    </row>
    <row r="75" spans="2:9" x14ac:dyDescent="0.3">
      <c r="B75" s="4" t="s">
        <v>15</v>
      </c>
      <c r="C75" s="5">
        <v>0</v>
      </c>
      <c r="D75" s="5">
        <v>0</v>
      </c>
      <c r="E75" s="5">
        <v>200</v>
      </c>
      <c r="F75" s="5">
        <v>0</v>
      </c>
      <c r="G75" s="5">
        <v>48335</v>
      </c>
      <c r="H75" s="5">
        <v>0</v>
      </c>
      <c r="I75" s="5">
        <v>0</v>
      </c>
    </row>
    <row r="76" spans="2:9" x14ac:dyDescent="0.3">
      <c r="B76" s="4" t="s">
        <v>16</v>
      </c>
      <c r="C76" s="5">
        <v>0</v>
      </c>
      <c r="D76" s="5">
        <v>0</v>
      </c>
      <c r="E76" s="5">
        <v>388</v>
      </c>
      <c r="F76" s="5">
        <v>32590</v>
      </c>
      <c r="G76" s="5">
        <v>0</v>
      </c>
      <c r="H76" s="5">
        <v>0</v>
      </c>
      <c r="I76" s="5">
        <v>388</v>
      </c>
    </row>
    <row r="77" spans="2:9" x14ac:dyDescent="0.3">
      <c r="B77" s="4" t="s">
        <v>17</v>
      </c>
      <c r="C77" s="5">
        <v>100</v>
      </c>
      <c r="D77" s="5">
        <v>25305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</row>
    <row r="78" spans="2:9" x14ac:dyDescent="0.3">
      <c r="B78" s="4" t="s">
        <v>18</v>
      </c>
      <c r="C78" s="5">
        <v>19270</v>
      </c>
      <c r="D78" s="5">
        <v>7692915</v>
      </c>
      <c r="E78" s="5">
        <v>5170</v>
      </c>
      <c r="F78" s="5">
        <v>2156570</v>
      </c>
      <c r="G78" s="5">
        <v>0</v>
      </c>
      <c r="H78" s="5">
        <v>17800</v>
      </c>
      <c r="I78" s="5">
        <v>2500</v>
      </c>
    </row>
    <row r="79" spans="2:9" x14ac:dyDescent="0.3">
      <c r="B79" s="4" t="s">
        <v>19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1000</v>
      </c>
      <c r="I79" s="5">
        <v>0</v>
      </c>
    </row>
    <row r="80" spans="2:9" x14ac:dyDescent="0.3">
      <c r="B80" s="4" t="s">
        <v>20</v>
      </c>
      <c r="C80" s="5">
        <v>0</v>
      </c>
      <c r="D80" s="5">
        <v>0</v>
      </c>
      <c r="E80" s="5">
        <v>7500</v>
      </c>
      <c r="F80" s="5">
        <v>0</v>
      </c>
      <c r="G80" s="5">
        <v>131145</v>
      </c>
      <c r="H80" s="5">
        <v>5000</v>
      </c>
      <c r="I80" s="5">
        <v>5000</v>
      </c>
    </row>
    <row r="81" spans="2:9" x14ac:dyDescent="0.3">
      <c r="B81" s="4" t="s">
        <v>21</v>
      </c>
      <c r="C81" s="5">
        <v>192621</v>
      </c>
      <c r="D81" s="5">
        <v>73263203</v>
      </c>
      <c r="E81" s="5">
        <v>66980</v>
      </c>
      <c r="F81" s="5">
        <v>17709058</v>
      </c>
      <c r="G81" s="5">
        <v>8608378</v>
      </c>
      <c r="H81" s="5">
        <v>121000</v>
      </c>
      <c r="I81" s="5">
        <v>2995</v>
      </c>
    </row>
    <row r="82" spans="2:9" x14ac:dyDescent="0.3">
      <c r="B82" s="4" t="s">
        <v>22</v>
      </c>
      <c r="C82" s="5">
        <v>5410</v>
      </c>
      <c r="D82" s="5">
        <v>2406842</v>
      </c>
      <c r="E82" s="5">
        <v>1255</v>
      </c>
      <c r="F82" s="5">
        <v>270870</v>
      </c>
      <c r="G82" s="5">
        <v>307345</v>
      </c>
      <c r="H82" s="5">
        <v>5600</v>
      </c>
      <c r="I82" s="5">
        <v>500</v>
      </c>
    </row>
    <row r="83" spans="2:9" x14ac:dyDescent="0.3">
      <c r="B83" s="4" t="s">
        <v>23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800000</v>
      </c>
      <c r="I83" s="5">
        <v>63137990</v>
      </c>
    </row>
    <row r="84" spans="2:9" x14ac:dyDescent="0.3">
      <c r="B84" s="4" t="s">
        <v>25</v>
      </c>
      <c r="C84" s="5">
        <v>100</v>
      </c>
      <c r="D84" s="5">
        <v>19600</v>
      </c>
      <c r="E84" s="5">
        <v>200</v>
      </c>
      <c r="F84" s="5">
        <v>0</v>
      </c>
      <c r="G84" s="5">
        <v>46000</v>
      </c>
      <c r="H84" s="5">
        <v>0</v>
      </c>
      <c r="I84" s="5">
        <v>300</v>
      </c>
    </row>
    <row r="85" spans="2:9" x14ac:dyDescent="0.3">
      <c r="B85" s="4" t="s">
        <v>26</v>
      </c>
      <c r="C85" s="5">
        <v>890</v>
      </c>
      <c r="D85" s="5">
        <v>76635</v>
      </c>
      <c r="E85" s="5">
        <v>16780</v>
      </c>
      <c r="F85" s="5">
        <v>1485570</v>
      </c>
      <c r="G85" s="5">
        <v>84783</v>
      </c>
      <c r="H85" s="5">
        <v>0</v>
      </c>
      <c r="I85" s="5">
        <v>15900</v>
      </c>
    </row>
    <row r="86" spans="2:9" x14ac:dyDescent="0.3">
      <c r="B86" s="4" t="s">
        <v>27</v>
      </c>
      <c r="C86" s="5">
        <v>2915</v>
      </c>
      <c r="D86" s="5">
        <v>215330</v>
      </c>
      <c r="E86" s="5">
        <v>16995</v>
      </c>
      <c r="F86" s="5">
        <v>801603</v>
      </c>
      <c r="G86" s="5">
        <v>641515</v>
      </c>
      <c r="H86" s="5">
        <v>0</v>
      </c>
      <c r="I86" s="5">
        <v>12600</v>
      </c>
    </row>
    <row r="87" spans="2:9" x14ac:dyDescent="0.3">
      <c r="B87" s="4" t="s">
        <v>34</v>
      </c>
      <c r="C87" s="5">
        <v>760</v>
      </c>
      <c r="D87" s="5">
        <v>2280</v>
      </c>
      <c r="E87" s="5">
        <v>7100</v>
      </c>
      <c r="F87" s="5">
        <v>28755</v>
      </c>
      <c r="G87" s="5">
        <v>0</v>
      </c>
      <c r="H87" s="5">
        <v>0</v>
      </c>
      <c r="I87" s="5">
        <v>0</v>
      </c>
    </row>
    <row r="88" spans="2:9" x14ac:dyDescent="0.3">
      <c r="B88" s="4" t="s">
        <v>29</v>
      </c>
      <c r="C88" s="5">
        <v>0</v>
      </c>
      <c r="D88" s="5">
        <v>0</v>
      </c>
      <c r="E88" s="5">
        <v>400</v>
      </c>
      <c r="F88" s="5">
        <v>5570</v>
      </c>
      <c r="G88" s="5">
        <v>0</v>
      </c>
      <c r="H88" s="5">
        <v>0</v>
      </c>
      <c r="I88" s="5">
        <v>500</v>
      </c>
    </row>
    <row r="89" spans="2:9" x14ac:dyDescent="0.3">
      <c r="B89" s="4" t="s">
        <v>30</v>
      </c>
      <c r="C89" s="5">
        <v>0</v>
      </c>
      <c r="D89" s="5">
        <v>0</v>
      </c>
      <c r="E89" s="5">
        <v>3500</v>
      </c>
      <c r="F89" s="5">
        <v>49000</v>
      </c>
      <c r="G89" s="5">
        <v>0</v>
      </c>
      <c r="H89" s="5">
        <v>0</v>
      </c>
      <c r="I89" s="5">
        <v>0</v>
      </c>
    </row>
    <row r="90" spans="2:9" x14ac:dyDescent="0.3">
      <c r="B90" s="4" t="s">
        <v>31</v>
      </c>
      <c r="C90" s="5">
        <v>12868</v>
      </c>
      <c r="D90" s="5">
        <v>4534130</v>
      </c>
      <c r="E90" s="5">
        <v>14322</v>
      </c>
      <c r="F90" s="5">
        <v>3631809</v>
      </c>
      <c r="G90" s="5">
        <v>1636279</v>
      </c>
      <c r="H90" s="5">
        <v>2500</v>
      </c>
      <c r="I90" s="5">
        <v>10100</v>
      </c>
    </row>
    <row r="91" spans="2:9" ht="15.6" x14ac:dyDescent="0.3">
      <c r="B91" s="18" t="s">
        <v>32</v>
      </c>
      <c r="C91" s="18"/>
      <c r="D91" s="7">
        <f>SUM(D75:D90)</f>
        <v>88236240</v>
      </c>
      <c r="E91" s="8"/>
      <c r="F91" s="7">
        <f>SUM(F75:F90)</f>
        <v>26171395</v>
      </c>
      <c r="G91" s="7">
        <f>SUM(G75:G90)</f>
        <v>11503780</v>
      </c>
      <c r="H91" s="6"/>
      <c r="I91" s="6"/>
    </row>
    <row r="93" spans="2:9" ht="15.6" x14ac:dyDescent="0.3">
      <c r="B93" s="17" t="s">
        <v>40</v>
      </c>
      <c r="C93" s="17"/>
      <c r="D93" s="17"/>
    </row>
    <row r="94" spans="2:9" x14ac:dyDescent="0.3">
      <c r="B94" s="4" t="s">
        <v>38</v>
      </c>
      <c r="C94" s="5">
        <v>0</v>
      </c>
      <c r="D94" s="5">
        <v>0</v>
      </c>
      <c r="E94" s="5">
        <v>400</v>
      </c>
      <c r="F94" s="5">
        <v>83655</v>
      </c>
      <c r="G94" s="5">
        <v>0</v>
      </c>
      <c r="H94" s="5">
        <v>0</v>
      </c>
      <c r="I94" s="5">
        <v>0</v>
      </c>
    </row>
    <row r="95" spans="2:9" x14ac:dyDescent="0.3">
      <c r="B95" s="4" t="s">
        <v>17</v>
      </c>
      <c r="C95" s="5">
        <v>700</v>
      </c>
      <c r="D95" s="5">
        <v>177190</v>
      </c>
      <c r="E95" s="5">
        <v>0</v>
      </c>
      <c r="F95" s="5">
        <v>0</v>
      </c>
      <c r="G95" s="5">
        <v>0</v>
      </c>
      <c r="H95" s="5">
        <v>500</v>
      </c>
      <c r="I95" s="5">
        <v>0</v>
      </c>
    </row>
    <row r="96" spans="2:9" x14ac:dyDescent="0.3">
      <c r="B96" s="4" t="s">
        <v>18</v>
      </c>
      <c r="C96" s="5">
        <v>42660</v>
      </c>
      <c r="D96" s="5">
        <v>17542043</v>
      </c>
      <c r="E96" s="5">
        <v>1000</v>
      </c>
      <c r="F96" s="5">
        <v>0</v>
      </c>
      <c r="G96" s="5">
        <v>416390</v>
      </c>
      <c r="H96" s="5">
        <v>60000</v>
      </c>
      <c r="I96" s="5">
        <v>0</v>
      </c>
    </row>
    <row r="97" spans="2:9" x14ac:dyDescent="0.3">
      <c r="B97" s="4" t="s">
        <v>19</v>
      </c>
      <c r="C97" s="5">
        <v>0</v>
      </c>
      <c r="D97" s="5">
        <v>0</v>
      </c>
      <c r="E97" s="5">
        <v>6000</v>
      </c>
      <c r="F97" s="5">
        <v>343200</v>
      </c>
      <c r="G97" s="5">
        <v>0</v>
      </c>
      <c r="H97" s="5">
        <v>0</v>
      </c>
      <c r="I97" s="5">
        <v>4500</v>
      </c>
    </row>
    <row r="98" spans="2:9" x14ac:dyDescent="0.3">
      <c r="B98" s="4" t="s">
        <v>20</v>
      </c>
      <c r="C98" s="5">
        <v>900</v>
      </c>
      <c r="D98" s="5">
        <v>12140</v>
      </c>
      <c r="E98" s="5">
        <v>2600</v>
      </c>
      <c r="F98" s="5">
        <v>45295</v>
      </c>
      <c r="G98" s="5">
        <v>0</v>
      </c>
      <c r="H98" s="5">
        <v>0</v>
      </c>
      <c r="I98" s="5">
        <v>5000</v>
      </c>
    </row>
    <row r="99" spans="2:9" x14ac:dyDescent="0.3">
      <c r="B99" s="4" t="s">
        <v>21</v>
      </c>
      <c r="C99" s="5">
        <v>494772</v>
      </c>
      <c r="D99" s="5">
        <v>189930929</v>
      </c>
      <c r="E99" s="5">
        <v>28393</v>
      </c>
      <c r="F99" s="5">
        <v>8809710</v>
      </c>
      <c r="G99" s="5">
        <v>2354525</v>
      </c>
      <c r="H99" s="5">
        <v>458280</v>
      </c>
      <c r="I99" s="5">
        <v>1000</v>
      </c>
    </row>
    <row r="100" spans="2:9" x14ac:dyDescent="0.3">
      <c r="B100" s="4" t="s">
        <v>22</v>
      </c>
      <c r="C100" s="5">
        <v>25895</v>
      </c>
      <c r="D100" s="5">
        <v>11514313</v>
      </c>
      <c r="E100" s="5">
        <v>2195</v>
      </c>
      <c r="F100" s="5">
        <v>432875</v>
      </c>
      <c r="G100" s="5">
        <v>578695</v>
      </c>
      <c r="H100" s="5">
        <v>26000</v>
      </c>
      <c r="I100" s="5">
        <v>1000</v>
      </c>
    </row>
    <row r="101" spans="2:9" x14ac:dyDescent="0.3">
      <c r="B101" s="4" t="s">
        <v>23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3515500</v>
      </c>
      <c r="I101" s="5">
        <v>214341745</v>
      </c>
    </row>
    <row r="102" spans="2:9" x14ac:dyDescent="0.3">
      <c r="B102" s="4" t="s">
        <v>24</v>
      </c>
      <c r="C102" s="5">
        <v>0</v>
      </c>
      <c r="D102" s="5">
        <v>0</v>
      </c>
      <c r="E102" s="5">
        <v>120000</v>
      </c>
      <c r="F102" s="5">
        <v>314400</v>
      </c>
      <c r="G102" s="5">
        <v>0</v>
      </c>
      <c r="H102" s="5">
        <v>0</v>
      </c>
      <c r="I102" s="5">
        <v>120000</v>
      </c>
    </row>
    <row r="103" spans="2:9" x14ac:dyDescent="0.3">
      <c r="B103" s="4" t="s">
        <v>26</v>
      </c>
      <c r="C103" s="5">
        <v>740</v>
      </c>
      <c r="D103" s="5">
        <v>63618</v>
      </c>
      <c r="E103" s="5">
        <v>3320</v>
      </c>
      <c r="F103" s="5">
        <v>122995</v>
      </c>
      <c r="G103" s="5">
        <v>196810</v>
      </c>
      <c r="H103" s="5">
        <v>0</v>
      </c>
      <c r="I103" s="5">
        <v>2500</v>
      </c>
    </row>
    <row r="104" spans="2:9" x14ac:dyDescent="0.3">
      <c r="B104" s="4" t="s">
        <v>27</v>
      </c>
      <c r="C104" s="5">
        <v>7640</v>
      </c>
      <c r="D104" s="5">
        <v>565650</v>
      </c>
      <c r="E104" s="5">
        <v>2419</v>
      </c>
      <c r="F104" s="5">
        <v>161705</v>
      </c>
      <c r="G104" s="5">
        <v>43790</v>
      </c>
      <c r="H104" s="5">
        <v>3000</v>
      </c>
      <c r="I104" s="5">
        <v>2000</v>
      </c>
    </row>
    <row r="105" spans="2:9" x14ac:dyDescent="0.3">
      <c r="B105" s="4" t="s">
        <v>34</v>
      </c>
      <c r="C105" s="5">
        <v>94210</v>
      </c>
      <c r="D105" s="5">
        <v>282847</v>
      </c>
      <c r="E105" s="5">
        <v>130740</v>
      </c>
      <c r="F105" s="5">
        <v>418125</v>
      </c>
      <c r="G105" s="5">
        <v>111375</v>
      </c>
      <c r="H105" s="5">
        <v>0</v>
      </c>
      <c r="I105" s="5">
        <v>0</v>
      </c>
    </row>
    <row r="106" spans="2:9" x14ac:dyDescent="0.3">
      <c r="B106" s="4" t="s">
        <v>28</v>
      </c>
      <c r="C106" s="5">
        <v>0</v>
      </c>
      <c r="D106" s="5">
        <v>0</v>
      </c>
      <c r="E106" s="5">
        <v>15000</v>
      </c>
      <c r="F106" s="5">
        <v>75000</v>
      </c>
      <c r="G106" s="5">
        <v>0</v>
      </c>
      <c r="H106" s="5">
        <v>0</v>
      </c>
      <c r="I106" s="5">
        <v>20000</v>
      </c>
    </row>
    <row r="107" spans="2:9" x14ac:dyDescent="0.3">
      <c r="B107" s="4" t="s">
        <v>29</v>
      </c>
      <c r="C107" s="5">
        <v>20</v>
      </c>
      <c r="D107" s="5">
        <v>140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</row>
    <row r="108" spans="2:9" x14ac:dyDescent="0.3">
      <c r="B108" s="4" t="s">
        <v>30</v>
      </c>
      <c r="C108" s="5">
        <v>0</v>
      </c>
      <c r="D108" s="5">
        <v>0</v>
      </c>
      <c r="E108" s="5">
        <v>3010</v>
      </c>
      <c r="F108" s="5">
        <v>140</v>
      </c>
      <c r="G108" s="5">
        <v>42000</v>
      </c>
      <c r="H108" s="5">
        <v>0</v>
      </c>
      <c r="I108" s="5">
        <v>4500</v>
      </c>
    </row>
    <row r="109" spans="2:9" x14ac:dyDescent="0.3">
      <c r="B109" s="4" t="s">
        <v>31</v>
      </c>
      <c r="C109" s="5">
        <v>7256</v>
      </c>
      <c r="D109" s="5">
        <v>2545005</v>
      </c>
      <c r="E109" s="5">
        <v>11368</v>
      </c>
      <c r="F109" s="5">
        <v>3122670</v>
      </c>
      <c r="G109" s="5">
        <v>1054020</v>
      </c>
      <c r="H109" s="5">
        <v>4500</v>
      </c>
      <c r="I109" s="5">
        <v>8300</v>
      </c>
    </row>
    <row r="110" spans="2:9" ht="15.6" x14ac:dyDescent="0.3">
      <c r="B110" s="18" t="s">
        <v>32</v>
      </c>
      <c r="C110" s="18"/>
      <c r="D110" s="7">
        <f>SUM(D94:D109)</f>
        <v>222633875</v>
      </c>
      <c r="E110" s="8"/>
      <c r="F110" s="7">
        <f>SUM(F94:F109)</f>
        <v>13929770</v>
      </c>
      <c r="G110" s="7">
        <f>SUM(G94:G109)</f>
        <v>4797605</v>
      </c>
      <c r="H110" s="6"/>
      <c r="I110" s="6"/>
    </row>
    <row r="112" spans="2:9" ht="15.6" x14ac:dyDescent="0.3">
      <c r="B112" s="17" t="s">
        <v>41</v>
      </c>
      <c r="C112" s="17"/>
      <c r="D112" s="17"/>
    </row>
    <row r="113" spans="2:9" x14ac:dyDescent="0.3">
      <c r="B113" s="4" t="s">
        <v>16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300</v>
      </c>
      <c r="I113" s="5">
        <v>0</v>
      </c>
    </row>
    <row r="114" spans="2:9" x14ac:dyDescent="0.3">
      <c r="B114" s="4" t="s">
        <v>18</v>
      </c>
      <c r="C114" s="5">
        <v>37010</v>
      </c>
      <c r="D114" s="5">
        <v>14966555</v>
      </c>
      <c r="E114" s="5">
        <v>990</v>
      </c>
      <c r="F114" s="5">
        <v>413780</v>
      </c>
      <c r="G114" s="5">
        <v>0</v>
      </c>
      <c r="H114" s="5">
        <v>36500</v>
      </c>
      <c r="I114" s="5">
        <v>800</v>
      </c>
    </row>
    <row r="115" spans="2:9" x14ac:dyDescent="0.3">
      <c r="B115" s="4" t="s">
        <v>19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500</v>
      </c>
      <c r="I115" s="5">
        <v>0</v>
      </c>
    </row>
    <row r="116" spans="2:9" x14ac:dyDescent="0.3">
      <c r="B116" s="4" t="s">
        <v>20</v>
      </c>
      <c r="C116" s="5">
        <v>400</v>
      </c>
      <c r="D116" s="5">
        <v>5400</v>
      </c>
      <c r="E116" s="5">
        <v>2000</v>
      </c>
      <c r="F116" s="5">
        <v>0</v>
      </c>
      <c r="G116" s="5">
        <v>34840</v>
      </c>
      <c r="H116" s="5">
        <v>0</v>
      </c>
      <c r="I116" s="5">
        <v>5000</v>
      </c>
    </row>
    <row r="117" spans="2:9" x14ac:dyDescent="0.3">
      <c r="B117" s="4" t="s">
        <v>21</v>
      </c>
      <c r="C117" s="5">
        <v>237750</v>
      </c>
      <c r="D117" s="5">
        <v>91099041</v>
      </c>
      <c r="E117" s="5">
        <v>48403</v>
      </c>
      <c r="F117" s="5">
        <v>12789220</v>
      </c>
      <c r="G117" s="5">
        <v>6190370</v>
      </c>
      <c r="H117" s="5">
        <v>193000</v>
      </c>
      <c r="I117" s="5">
        <v>7450</v>
      </c>
    </row>
    <row r="118" spans="2:9" x14ac:dyDescent="0.3">
      <c r="B118" s="4" t="s">
        <v>22</v>
      </c>
      <c r="C118" s="5">
        <v>1650</v>
      </c>
      <c r="D118" s="5">
        <v>732380</v>
      </c>
      <c r="E118" s="5">
        <v>1485</v>
      </c>
      <c r="F118" s="5">
        <v>439140</v>
      </c>
      <c r="G118" s="5">
        <v>245230</v>
      </c>
      <c r="H118" s="5">
        <v>500</v>
      </c>
      <c r="I118" s="5">
        <v>300</v>
      </c>
    </row>
    <row r="119" spans="2:9" x14ac:dyDescent="0.3">
      <c r="B119" s="4" t="s">
        <v>23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9300000</v>
      </c>
      <c r="I119" s="5">
        <v>102270530</v>
      </c>
    </row>
    <row r="120" spans="2:9" x14ac:dyDescent="0.3">
      <c r="B120" s="4" t="s">
        <v>26</v>
      </c>
      <c r="C120" s="5">
        <v>2500</v>
      </c>
      <c r="D120" s="5">
        <v>215339</v>
      </c>
      <c r="E120" s="5">
        <v>6880</v>
      </c>
      <c r="F120" s="5">
        <v>659760</v>
      </c>
      <c r="G120" s="5">
        <v>0</v>
      </c>
      <c r="H120" s="5">
        <v>3000</v>
      </c>
      <c r="I120" s="5">
        <v>6000</v>
      </c>
    </row>
    <row r="121" spans="2:9" x14ac:dyDescent="0.3">
      <c r="B121" s="4" t="s">
        <v>27</v>
      </c>
      <c r="C121" s="5">
        <v>237</v>
      </c>
      <c r="D121" s="5">
        <v>17530</v>
      </c>
      <c r="E121" s="5">
        <v>3670</v>
      </c>
      <c r="F121" s="5">
        <v>272465</v>
      </c>
      <c r="G121" s="5">
        <v>38980</v>
      </c>
      <c r="H121" s="5">
        <v>0</v>
      </c>
      <c r="I121" s="5">
        <v>5000</v>
      </c>
    </row>
    <row r="122" spans="2:9" x14ac:dyDescent="0.3">
      <c r="B122" s="4" t="s">
        <v>34</v>
      </c>
      <c r="C122" s="5">
        <v>18010</v>
      </c>
      <c r="D122" s="5">
        <v>54075</v>
      </c>
      <c r="E122" s="5">
        <v>22000</v>
      </c>
      <c r="F122" s="5">
        <v>89100</v>
      </c>
      <c r="G122" s="5">
        <v>0</v>
      </c>
      <c r="H122" s="5">
        <v>0</v>
      </c>
      <c r="I122" s="5">
        <v>0</v>
      </c>
    </row>
    <row r="123" spans="2:9" x14ac:dyDescent="0.3">
      <c r="B123" s="4" t="s">
        <v>31</v>
      </c>
      <c r="C123" s="5">
        <v>3036</v>
      </c>
      <c r="D123" s="5">
        <v>1071120</v>
      </c>
      <c r="E123" s="5">
        <v>3575</v>
      </c>
      <c r="F123" s="5">
        <v>734800</v>
      </c>
      <c r="G123" s="5">
        <v>571065</v>
      </c>
      <c r="H123" s="5">
        <v>3500</v>
      </c>
      <c r="I123" s="5">
        <v>4000</v>
      </c>
    </row>
    <row r="124" spans="2:9" ht="15.6" x14ac:dyDescent="0.3">
      <c r="B124" s="18" t="s">
        <v>32</v>
      </c>
      <c r="C124" s="18"/>
      <c r="D124" s="7">
        <f>SUM(D113:D123)</f>
        <v>108161440</v>
      </c>
      <c r="E124" s="8"/>
      <c r="F124" s="7">
        <f>SUM(F113:F123)</f>
        <v>15398265</v>
      </c>
      <c r="G124" s="7">
        <f>SUM(G113:G123)</f>
        <v>7080485</v>
      </c>
      <c r="H124" s="6"/>
      <c r="I124" s="6"/>
    </row>
    <row r="126" spans="2:9" ht="15.6" x14ac:dyDescent="0.3">
      <c r="B126" s="17" t="s">
        <v>42</v>
      </c>
      <c r="C126" s="17"/>
      <c r="D126" s="17"/>
    </row>
    <row r="127" spans="2:9" x14ac:dyDescent="0.3">
      <c r="B127" s="4" t="s">
        <v>15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100</v>
      </c>
      <c r="I127" s="5">
        <v>0</v>
      </c>
    </row>
    <row r="128" spans="2:9" x14ac:dyDescent="0.3">
      <c r="B128" s="4" t="s">
        <v>38</v>
      </c>
      <c r="C128" s="5">
        <v>5</v>
      </c>
      <c r="D128" s="5">
        <v>945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</row>
    <row r="129" spans="2:9" x14ac:dyDescent="0.3">
      <c r="B129" s="4" t="s">
        <v>17</v>
      </c>
      <c r="C129" s="5">
        <v>100</v>
      </c>
      <c r="D129" s="5">
        <v>25530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</row>
    <row r="130" spans="2:9" x14ac:dyDescent="0.3">
      <c r="B130" s="4" t="s">
        <v>18</v>
      </c>
      <c r="C130" s="5">
        <v>30740</v>
      </c>
      <c r="D130" s="5">
        <v>12486744</v>
      </c>
      <c r="E130" s="5">
        <v>5140</v>
      </c>
      <c r="F130" s="5">
        <v>2119700</v>
      </c>
      <c r="G130" s="5">
        <v>0</v>
      </c>
      <c r="H130" s="5">
        <v>25500</v>
      </c>
      <c r="I130" s="5">
        <v>500</v>
      </c>
    </row>
    <row r="131" spans="2:9" x14ac:dyDescent="0.3">
      <c r="B131" s="4" t="s">
        <v>19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1000</v>
      </c>
      <c r="I131" s="5">
        <v>0</v>
      </c>
    </row>
    <row r="132" spans="2:9" x14ac:dyDescent="0.3">
      <c r="B132" s="4" t="s">
        <v>20</v>
      </c>
      <c r="C132" s="5">
        <v>8800</v>
      </c>
      <c r="D132" s="5">
        <v>129535</v>
      </c>
      <c r="E132" s="5">
        <v>27900</v>
      </c>
      <c r="F132" s="5">
        <v>464855</v>
      </c>
      <c r="G132" s="5">
        <v>0</v>
      </c>
      <c r="H132" s="5">
        <v>0</v>
      </c>
      <c r="I132" s="5">
        <v>26000</v>
      </c>
    </row>
    <row r="133" spans="2:9" x14ac:dyDescent="0.3">
      <c r="B133" s="4" t="s">
        <v>21</v>
      </c>
      <c r="C133" s="5">
        <v>181366</v>
      </c>
      <c r="D133" s="5">
        <v>69610725</v>
      </c>
      <c r="E133" s="5">
        <v>55291</v>
      </c>
      <c r="F133" s="5">
        <v>21506654</v>
      </c>
      <c r="G133" s="5">
        <v>0</v>
      </c>
      <c r="H133" s="5">
        <v>110254</v>
      </c>
      <c r="I133" s="5">
        <v>254</v>
      </c>
    </row>
    <row r="134" spans="2:9" x14ac:dyDescent="0.3">
      <c r="B134" s="4" t="s">
        <v>22</v>
      </c>
      <c r="C134" s="5">
        <v>1955</v>
      </c>
      <c r="D134" s="5">
        <v>878974</v>
      </c>
      <c r="E134" s="5">
        <v>3505</v>
      </c>
      <c r="F134" s="5">
        <v>1596336</v>
      </c>
      <c r="G134" s="5">
        <v>0</v>
      </c>
      <c r="H134" s="5">
        <v>500</v>
      </c>
      <c r="I134" s="5">
        <v>2400</v>
      </c>
    </row>
    <row r="135" spans="2:9" x14ac:dyDescent="0.3">
      <c r="B135" s="4" t="s">
        <v>23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5800000</v>
      </c>
      <c r="I135" s="5">
        <v>49367460</v>
      </c>
    </row>
    <row r="136" spans="2:9" x14ac:dyDescent="0.3">
      <c r="B136" s="4" t="s">
        <v>26</v>
      </c>
      <c r="C136" s="5">
        <v>730</v>
      </c>
      <c r="D136" s="5">
        <v>64690</v>
      </c>
      <c r="E136" s="5">
        <v>1200</v>
      </c>
      <c r="F136" s="5">
        <v>111890</v>
      </c>
      <c r="G136" s="5">
        <v>0</v>
      </c>
      <c r="H136" s="5">
        <v>0</v>
      </c>
      <c r="I136" s="5">
        <v>1400</v>
      </c>
    </row>
    <row r="137" spans="2:9" x14ac:dyDescent="0.3">
      <c r="B137" s="4" t="s">
        <v>27</v>
      </c>
      <c r="C137" s="5">
        <v>5596</v>
      </c>
      <c r="D137" s="5">
        <v>415472</v>
      </c>
      <c r="E137" s="5">
        <v>12495</v>
      </c>
      <c r="F137" s="5">
        <v>985722</v>
      </c>
      <c r="G137" s="5">
        <v>0</v>
      </c>
      <c r="H137" s="5">
        <v>2000</v>
      </c>
      <c r="I137" s="5">
        <v>10000</v>
      </c>
    </row>
    <row r="138" spans="2:9" x14ac:dyDescent="0.3">
      <c r="B138" s="4" t="s">
        <v>34</v>
      </c>
      <c r="C138" s="5">
        <v>2800</v>
      </c>
      <c r="D138" s="5">
        <v>8400</v>
      </c>
      <c r="E138" s="5">
        <v>24500</v>
      </c>
      <c r="F138" s="5">
        <v>99224</v>
      </c>
      <c r="G138" s="5">
        <v>0</v>
      </c>
      <c r="H138" s="5">
        <v>0</v>
      </c>
      <c r="I138" s="5">
        <v>0</v>
      </c>
    </row>
    <row r="139" spans="2:9" x14ac:dyDescent="0.3">
      <c r="B139" s="4" t="s">
        <v>28</v>
      </c>
      <c r="C139" s="5">
        <v>0</v>
      </c>
      <c r="D139" s="5">
        <v>0</v>
      </c>
      <c r="E139" s="5">
        <v>6260</v>
      </c>
      <c r="F139" s="5">
        <v>31300</v>
      </c>
      <c r="G139" s="5">
        <v>0</v>
      </c>
      <c r="H139" s="5">
        <v>5000</v>
      </c>
      <c r="I139" s="5">
        <v>7000</v>
      </c>
    </row>
    <row r="140" spans="2:9" x14ac:dyDescent="0.3">
      <c r="B140" s="4" t="s">
        <v>29</v>
      </c>
      <c r="C140" s="5">
        <v>0</v>
      </c>
      <c r="D140" s="5">
        <v>0</v>
      </c>
      <c r="E140" s="5">
        <v>100</v>
      </c>
      <c r="F140" s="5">
        <v>1395</v>
      </c>
      <c r="G140" s="5">
        <v>0</v>
      </c>
      <c r="H140" s="5">
        <v>0</v>
      </c>
      <c r="I140" s="5">
        <v>0</v>
      </c>
    </row>
    <row r="141" spans="2:9" x14ac:dyDescent="0.3">
      <c r="B141" s="4" t="s">
        <v>30</v>
      </c>
      <c r="C141" s="5">
        <v>0</v>
      </c>
      <c r="D141" s="5">
        <v>0</v>
      </c>
      <c r="E141" s="5">
        <v>6515</v>
      </c>
      <c r="F141" s="5">
        <v>91210</v>
      </c>
      <c r="G141" s="5">
        <v>0</v>
      </c>
      <c r="H141" s="5">
        <v>0</v>
      </c>
      <c r="I141" s="5">
        <v>15500</v>
      </c>
    </row>
    <row r="142" spans="2:9" x14ac:dyDescent="0.3">
      <c r="B142" s="4" t="s">
        <v>31</v>
      </c>
      <c r="C142" s="5">
        <v>961</v>
      </c>
      <c r="D142" s="5">
        <v>338655</v>
      </c>
      <c r="E142" s="5">
        <v>32166</v>
      </c>
      <c r="F142" s="5">
        <v>11654409</v>
      </c>
      <c r="G142" s="5">
        <v>0</v>
      </c>
      <c r="H142" s="5">
        <v>1254</v>
      </c>
      <c r="I142" s="5">
        <v>32604</v>
      </c>
    </row>
    <row r="143" spans="2:9" ht="15.6" x14ac:dyDescent="0.3">
      <c r="B143" s="18" t="s">
        <v>32</v>
      </c>
      <c r="C143" s="18"/>
      <c r="D143" s="7">
        <f>SUM(D127:D142)</f>
        <v>83959670</v>
      </c>
      <c r="E143" s="8"/>
      <c r="F143" s="7">
        <f>SUM(F127:F142)</f>
        <v>38662695</v>
      </c>
      <c r="G143" s="7">
        <f>SUM(G127:G142)</f>
        <v>0</v>
      </c>
      <c r="H143" s="6"/>
      <c r="I143" s="6"/>
    </row>
    <row r="145" spans="2:9" ht="17.399999999999999" x14ac:dyDescent="0.3">
      <c r="B145" s="22" t="s">
        <v>43</v>
      </c>
      <c r="C145" s="22"/>
      <c r="D145" s="22"/>
      <c r="E145" s="22"/>
      <c r="F145" s="22"/>
      <c r="G145" s="22"/>
      <c r="H145" s="22"/>
      <c r="I145" s="22"/>
    </row>
    <row r="146" spans="2:9" ht="15.6" x14ac:dyDescent="0.3">
      <c r="B146" s="17" t="s">
        <v>44</v>
      </c>
      <c r="C146" s="17"/>
      <c r="D146" s="17"/>
    </row>
    <row r="147" spans="2:9" x14ac:dyDescent="0.3">
      <c r="B147" s="4" t="s">
        <v>15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5000</v>
      </c>
      <c r="I147" s="5">
        <v>4300</v>
      </c>
    </row>
    <row r="148" spans="2:9" x14ac:dyDescent="0.3">
      <c r="B148" s="4" t="s">
        <v>38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1500</v>
      </c>
      <c r="I148" s="5">
        <v>1500</v>
      </c>
    </row>
    <row r="149" spans="2:9" x14ac:dyDescent="0.3">
      <c r="B149" s="4" t="s">
        <v>17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13000</v>
      </c>
      <c r="I149" s="5">
        <v>9700</v>
      </c>
    </row>
    <row r="150" spans="2:9" x14ac:dyDescent="0.3">
      <c r="B150" s="4" t="s">
        <v>18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139100</v>
      </c>
      <c r="I150" s="5">
        <v>142500</v>
      </c>
    </row>
    <row r="151" spans="2:9" x14ac:dyDescent="0.3">
      <c r="B151" s="4" t="s">
        <v>20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110000</v>
      </c>
      <c r="I151" s="5">
        <v>100000</v>
      </c>
    </row>
    <row r="152" spans="2:9" x14ac:dyDescent="0.3">
      <c r="B152" s="4" t="s">
        <v>21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1585730</v>
      </c>
      <c r="I152" s="5">
        <v>1603020</v>
      </c>
    </row>
    <row r="153" spans="2:9" x14ac:dyDescent="0.3">
      <c r="B153" s="4" t="s">
        <v>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51000</v>
      </c>
      <c r="I153" s="5">
        <v>43500</v>
      </c>
    </row>
    <row r="154" spans="2:9" x14ac:dyDescent="0.3">
      <c r="B154" s="4" t="s">
        <v>23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768853020</v>
      </c>
      <c r="I154" s="5">
        <v>765912455</v>
      </c>
    </row>
    <row r="155" spans="2:9" x14ac:dyDescent="0.3">
      <c r="B155" s="4" t="s">
        <v>36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6000</v>
      </c>
      <c r="I155" s="5">
        <v>7000</v>
      </c>
    </row>
    <row r="156" spans="2:9" x14ac:dyDescent="0.3">
      <c r="B156" s="4" t="s">
        <v>24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226000</v>
      </c>
      <c r="I156" s="5">
        <v>226000</v>
      </c>
    </row>
    <row r="157" spans="2:9" x14ac:dyDescent="0.3">
      <c r="B157" s="4" t="s">
        <v>45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7000</v>
      </c>
      <c r="I157" s="5">
        <v>10000</v>
      </c>
    </row>
    <row r="158" spans="2:9" x14ac:dyDescent="0.3">
      <c r="B158" s="4" t="s">
        <v>26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46000</v>
      </c>
      <c r="I158" s="5">
        <v>45000</v>
      </c>
    </row>
    <row r="159" spans="2:9" x14ac:dyDescent="0.3">
      <c r="B159" s="4" t="s">
        <v>27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84000</v>
      </c>
      <c r="I159" s="5">
        <v>80000</v>
      </c>
    </row>
    <row r="160" spans="2:9" x14ac:dyDescent="0.3">
      <c r="B160" s="4" t="s">
        <v>34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400000</v>
      </c>
      <c r="I160" s="5">
        <v>950000</v>
      </c>
    </row>
    <row r="161" spans="2:9" x14ac:dyDescent="0.3">
      <c r="B161" s="4" t="s">
        <v>29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30000</v>
      </c>
      <c r="I161" s="5">
        <v>50000</v>
      </c>
    </row>
    <row r="162" spans="2:9" x14ac:dyDescent="0.3">
      <c r="B162" s="4" t="s">
        <v>30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110000</v>
      </c>
      <c r="I162" s="5">
        <v>130000</v>
      </c>
    </row>
    <row r="163" spans="2:9" x14ac:dyDescent="0.3">
      <c r="B163" s="4" t="s">
        <v>31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141900</v>
      </c>
      <c r="I163" s="5">
        <v>150500</v>
      </c>
    </row>
    <row r="164" spans="2:9" ht="15.6" x14ac:dyDescent="0.3">
      <c r="B164" s="18" t="s">
        <v>32</v>
      </c>
      <c r="C164" s="18"/>
      <c r="D164" s="7">
        <f>SUM(D147:D163)</f>
        <v>0</v>
      </c>
      <c r="E164" s="8"/>
      <c r="F164" s="7">
        <f>SUM(F147:F163)</f>
        <v>0</v>
      </c>
      <c r="G164" s="7">
        <f>SUM(G147:G163)</f>
        <v>0</v>
      </c>
      <c r="H164" s="6"/>
      <c r="I164" s="6"/>
    </row>
    <row r="166" spans="2:9" ht="15.6" x14ac:dyDescent="0.3">
      <c r="B166" s="17" t="s">
        <v>46</v>
      </c>
      <c r="C166" s="17"/>
      <c r="D166" s="17"/>
    </row>
    <row r="167" spans="2:9" x14ac:dyDescent="0.3">
      <c r="B167" s="4" t="s">
        <v>18</v>
      </c>
      <c r="C167" s="5">
        <v>3980</v>
      </c>
      <c r="D167" s="5">
        <v>1588552</v>
      </c>
      <c r="E167" s="5">
        <v>0</v>
      </c>
      <c r="F167" s="5">
        <v>0</v>
      </c>
      <c r="G167" s="5">
        <v>0</v>
      </c>
      <c r="H167" s="5">
        <v>4000</v>
      </c>
      <c r="I167" s="5">
        <v>0</v>
      </c>
    </row>
    <row r="168" spans="2:9" x14ac:dyDescent="0.3">
      <c r="B168" s="4" t="s">
        <v>20</v>
      </c>
      <c r="C168" s="5">
        <v>2000</v>
      </c>
      <c r="D168" s="5">
        <v>27040</v>
      </c>
      <c r="E168" s="5">
        <v>5200</v>
      </c>
      <c r="F168" s="5">
        <v>90650</v>
      </c>
      <c r="G168" s="5">
        <v>0</v>
      </c>
      <c r="H168" s="5">
        <v>0</v>
      </c>
      <c r="I168" s="5">
        <v>0</v>
      </c>
    </row>
    <row r="169" spans="2:9" x14ac:dyDescent="0.3">
      <c r="B169" s="4" t="s">
        <v>21</v>
      </c>
      <c r="C169" s="5">
        <v>36836</v>
      </c>
      <c r="D169" s="5">
        <v>13933244</v>
      </c>
      <c r="E169" s="5">
        <v>13890</v>
      </c>
      <c r="F169" s="5">
        <v>5482015</v>
      </c>
      <c r="G169" s="5">
        <v>0</v>
      </c>
      <c r="H169" s="5">
        <v>27000</v>
      </c>
      <c r="I169" s="5">
        <v>0</v>
      </c>
    </row>
    <row r="170" spans="2:9" x14ac:dyDescent="0.3">
      <c r="B170" s="4" t="s">
        <v>22</v>
      </c>
      <c r="C170" s="5">
        <v>1155</v>
      </c>
      <c r="D170" s="5">
        <v>510780</v>
      </c>
      <c r="E170" s="5">
        <v>750</v>
      </c>
      <c r="F170" s="5">
        <v>349555</v>
      </c>
      <c r="G170" s="5">
        <v>0</v>
      </c>
      <c r="H170" s="5">
        <v>1500</v>
      </c>
      <c r="I170" s="5">
        <v>0</v>
      </c>
    </row>
    <row r="171" spans="2:9" x14ac:dyDescent="0.3">
      <c r="B171" s="4" t="s">
        <v>23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9758500</v>
      </c>
    </row>
    <row r="172" spans="2:9" x14ac:dyDescent="0.3">
      <c r="B172" s="4" t="s">
        <v>26</v>
      </c>
      <c r="C172" s="5">
        <v>400</v>
      </c>
      <c r="D172" s="5">
        <v>34170</v>
      </c>
      <c r="E172" s="5">
        <v>0</v>
      </c>
      <c r="F172" s="5">
        <v>0</v>
      </c>
      <c r="G172" s="5">
        <v>0</v>
      </c>
      <c r="H172" s="5">
        <v>0</v>
      </c>
      <c r="I172" s="5">
        <v>1000</v>
      </c>
    </row>
    <row r="173" spans="2:9" x14ac:dyDescent="0.3">
      <c r="B173" s="4" t="s">
        <v>27</v>
      </c>
      <c r="C173" s="5">
        <v>687</v>
      </c>
      <c r="D173" s="5">
        <v>50714</v>
      </c>
      <c r="E173" s="5">
        <v>2585</v>
      </c>
      <c r="F173" s="5">
        <v>220445</v>
      </c>
      <c r="G173" s="5">
        <v>0</v>
      </c>
      <c r="H173" s="5">
        <v>0</v>
      </c>
      <c r="I173" s="5">
        <v>0</v>
      </c>
    </row>
    <row r="174" spans="2:9" x14ac:dyDescent="0.3">
      <c r="B174" s="4" t="s">
        <v>34</v>
      </c>
      <c r="C174" s="5">
        <v>5810</v>
      </c>
      <c r="D174" s="5">
        <v>17430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</row>
    <row r="175" spans="2:9" x14ac:dyDescent="0.3">
      <c r="B175" s="4" t="s">
        <v>30</v>
      </c>
      <c r="C175" s="5">
        <v>0</v>
      </c>
      <c r="D175" s="5">
        <v>0</v>
      </c>
      <c r="E175" s="5">
        <v>200</v>
      </c>
      <c r="F175" s="5">
        <v>2800</v>
      </c>
      <c r="G175" s="5">
        <v>0</v>
      </c>
      <c r="H175" s="5">
        <v>0</v>
      </c>
      <c r="I175" s="5">
        <v>0</v>
      </c>
    </row>
    <row r="176" spans="2:9" x14ac:dyDescent="0.3">
      <c r="B176" s="4" t="s">
        <v>31</v>
      </c>
      <c r="C176" s="5">
        <v>1943</v>
      </c>
      <c r="D176" s="5">
        <v>678920</v>
      </c>
      <c r="E176" s="5">
        <v>4582</v>
      </c>
      <c r="F176" s="5">
        <v>1680470</v>
      </c>
      <c r="G176" s="5">
        <v>0</v>
      </c>
      <c r="H176" s="5">
        <v>0</v>
      </c>
      <c r="I176" s="5">
        <v>2000</v>
      </c>
    </row>
    <row r="177" spans="2:9" ht="15.6" x14ac:dyDescent="0.3">
      <c r="B177" s="18" t="s">
        <v>32</v>
      </c>
      <c r="C177" s="18"/>
      <c r="D177" s="7">
        <f>SUM(D167:D176)</f>
        <v>16840850</v>
      </c>
      <c r="E177" s="8"/>
      <c r="F177" s="7">
        <f>SUM(F167:F176)</f>
        <v>7825935</v>
      </c>
      <c r="G177" s="7">
        <f>SUM(G167:G176)</f>
        <v>0</v>
      </c>
      <c r="H177" s="6"/>
      <c r="I177" s="6"/>
    </row>
    <row r="179" spans="2:9" ht="15.6" x14ac:dyDescent="0.3">
      <c r="B179" s="17" t="s">
        <v>47</v>
      </c>
      <c r="C179" s="17"/>
      <c r="D179" s="17"/>
    </row>
    <row r="180" spans="2:9" x14ac:dyDescent="0.3">
      <c r="B180" s="4" t="s">
        <v>15</v>
      </c>
      <c r="C180" s="5">
        <v>150</v>
      </c>
      <c r="D180" s="5">
        <v>33575</v>
      </c>
      <c r="E180" s="5">
        <v>5</v>
      </c>
      <c r="F180" s="5">
        <v>0</v>
      </c>
      <c r="G180" s="5">
        <v>1205</v>
      </c>
      <c r="H180" s="5">
        <v>0</v>
      </c>
      <c r="I180" s="5">
        <v>0</v>
      </c>
    </row>
    <row r="181" spans="2:9" x14ac:dyDescent="0.3">
      <c r="B181" s="4" t="s">
        <v>48</v>
      </c>
      <c r="C181" s="5">
        <v>0</v>
      </c>
      <c r="D181" s="5">
        <v>0</v>
      </c>
      <c r="E181" s="5">
        <v>100</v>
      </c>
      <c r="F181" s="5">
        <v>0</v>
      </c>
      <c r="G181" s="5">
        <v>21470</v>
      </c>
      <c r="H181" s="5">
        <v>0</v>
      </c>
      <c r="I181" s="5">
        <v>0</v>
      </c>
    </row>
    <row r="182" spans="2:9" x14ac:dyDescent="0.3">
      <c r="B182" s="4" t="s">
        <v>38</v>
      </c>
      <c r="C182" s="5">
        <v>0</v>
      </c>
      <c r="D182" s="5">
        <v>0</v>
      </c>
      <c r="E182" s="5">
        <v>195</v>
      </c>
      <c r="F182" s="5">
        <v>38650</v>
      </c>
      <c r="G182" s="5">
        <v>2060</v>
      </c>
      <c r="H182" s="5">
        <v>0</v>
      </c>
      <c r="I182" s="5">
        <v>0</v>
      </c>
    </row>
    <row r="183" spans="2:9" x14ac:dyDescent="0.3">
      <c r="B183" s="4" t="s">
        <v>17</v>
      </c>
      <c r="C183" s="5">
        <v>180</v>
      </c>
      <c r="D183" s="5">
        <v>45394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</row>
    <row r="184" spans="2:9" x14ac:dyDescent="0.3">
      <c r="B184" s="4" t="s">
        <v>18</v>
      </c>
      <c r="C184" s="5">
        <v>6640</v>
      </c>
      <c r="D184" s="5">
        <v>2649665</v>
      </c>
      <c r="E184" s="5">
        <v>5930</v>
      </c>
      <c r="F184" s="5">
        <v>1964600</v>
      </c>
      <c r="G184" s="5">
        <v>515570</v>
      </c>
      <c r="H184" s="5">
        <v>4000</v>
      </c>
      <c r="I184" s="5">
        <v>5000</v>
      </c>
    </row>
    <row r="185" spans="2:9" x14ac:dyDescent="0.3">
      <c r="B185" s="4" t="s">
        <v>20</v>
      </c>
      <c r="C185" s="5">
        <v>4400</v>
      </c>
      <c r="D185" s="5">
        <v>59455</v>
      </c>
      <c r="E185" s="5">
        <v>11900</v>
      </c>
      <c r="F185" s="5">
        <v>41740</v>
      </c>
      <c r="G185" s="5">
        <v>165225</v>
      </c>
      <c r="H185" s="5">
        <v>0</v>
      </c>
      <c r="I185" s="5">
        <v>10000</v>
      </c>
    </row>
    <row r="186" spans="2:9" x14ac:dyDescent="0.3">
      <c r="B186" s="4" t="s">
        <v>21</v>
      </c>
      <c r="C186" s="5">
        <v>91331</v>
      </c>
      <c r="D186" s="5">
        <v>34648925</v>
      </c>
      <c r="E186" s="5">
        <v>74903</v>
      </c>
      <c r="F186" s="5">
        <v>18630787</v>
      </c>
      <c r="G186" s="5">
        <v>10889332</v>
      </c>
      <c r="H186" s="5">
        <v>85050</v>
      </c>
      <c r="I186" s="5">
        <v>66750</v>
      </c>
    </row>
    <row r="187" spans="2:9" x14ac:dyDescent="0.3">
      <c r="B187" s="4" t="s">
        <v>22</v>
      </c>
      <c r="C187" s="5">
        <v>4755</v>
      </c>
      <c r="D187" s="5">
        <v>2093245</v>
      </c>
      <c r="E187" s="5">
        <v>4610</v>
      </c>
      <c r="F187" s="5">
        <v>1725040</v>
      </c>
      <c r="G187" s="5">
        <v>412237</v>
      </c>
      <c r="H187" s="5">
        <v>4500</v>
      </c>
      <c r="I187" s="5">
        <v>2000</v>
      </c>
    </row>
    <row r="188" spans="2:9" x14ac:dyDescent="0.3">
      <c r="B188" s="4" t="s">
        <v>23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36000000</v>
      </c>
      <c r="I188" s="5">
        <v>51968000</v>
      </c>
    </row>
    <row r="189" spans="2:9" x14ac:dyDescent="0.3">
      <c r="B189" s="4" t="s">
        <v>26</v>
      </c>
      <c r="C189" s="5">
        <v>370</v>
      </c>
      <c r="D189" s="5">
        <v>31945</v>
      </c>
      <c r="E189" s="5">
        <v>8100</v>
      </c>
      <c r="F189" s="5">
        <v>524460</v>
      </c>
      <c r="G189" s="5">
        <v>256921</v>
      </c>
      <c r="H189" s="5">
        <v>0</v>
      </c>
      <c r="I189" s="5">
        <v>6500</v>
      </c>
    </row>
    <row r="190" spans="2:9" x14ac:dyDescent="0.3">
      <c r="B190" s="4" t="s">
        <v>27</v>
      </c>
      <c r="C190" s="5">
        <v>5891</v>
      </c>
      <c r="D190" s="5">
        <v>434646</v>
      </c>
      <c r="E190" s="5">
        <v>24248</v>
      </c>
      <c r="F190" s="5">
        <v>913635</v>
      </c>
      <c r="G190" s="5">
        <v>1143661</v>
      </c>
      <c r="H190" s="5">
        <v>0</v>
      </c>
      <c r="I190" s="5">
        <v>15000</v>
      </c>
    </row>
    <row r="191" spans="2:9" x14ac:dyDescent="0.3">
      <c r="B191" s="4" t="s">
        <v>34</v>
      </c>
      <c r="C191" s="5">
        <v>27230</v>
      </c>
      <c r="D191" s="5">
        <v>81925</v>
      </c>
      <c r="E191" s="5">
        <v>112110</v>
      </c>
      <c r="F191" s="5">
        <v>367375</v>
      </c>
      <c r="G191" s="5">
        <v>86670</v>
      </c>
      <c r="H191" s="5">
        <v>0</v>
      </c>
      <c r="I191" s="5">
        <v>50000</v>
      </c>
    </row>
    <row r="192" spans="2:9" x14ac:dyDescent="0.3">
      <c r="B192" s="4" t="s">
        <v>29</v>
      </c>
      <c r="C192" s="5">
        <v>120</v>
      </c>
      <c r="D192" s="5">
        <v>840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</row>
    <row r="193" spans="2:9" x14ac:dyDescent="0.3">
      <c r="B193" s="4" t="s">
        <v>30</v>
      </c>
      <c r="C193" s="5">
        <v>0</v>
      </c>
      <c r="D193" s="5">
        <v>0</v>
      </c>
      <c r="E193" s="5">
        <v>6600</v>
      </c>
      <c r="F193" s="5">
        <v>75738</v>
      </c>
      <c r="G193" s="5">
        <v>21700</v>
      </c>
      <c r="H193" s="5">
        <v>0</v>
      </c>
      <c r="I193" s="5">
        <v>8000</v>
      </c>
    </row>
    <row r="194" spans="2:9" x14ac:dyDescent="0.3">
      <c r="B194" s="4" t="s">
        <v>31</v>
      </c>
      <c r="C194" s="5">
        <v>2266</v>
      </c>
      <c r="D194" s="5">
        <v>790415</v>
      </c>
      <c r="E194" s="5">
        <v>14290</v>
      </c>
      <c r="F194" s="5">
        <v>2669780</v>
      </c>
      <c r="G194" s="5">
        <v>2597069</v>
      </c>
      <c r="H194" s="5">
        <v>1000</v>
      </c>
      <c r="I194" s="5">
        <v>10550</v>
      </c>
    </row>
    <row r="195" spans="2:9" ht="15.6" x14ac:dyDescent="0.3">
      <c r="B195" s="18" t="s">
        <v>32</v>
      </c>
      <c r="C195" s="18"/>
      <c r="D195" s="7">
        <f>SUM(D180:D194)</f>
        <v>40870030</v>
      </c>
      <c r="E195" s="8"/>
      <c r="F195" s="7">
        <f>SUM(F180:F194)</f>
        <v>26951805</v>
      </c>
      <c r="G195" s="7">
        <f>SUM(G180:G194)</f>
        <v>16113120</v>
      </c>
      <c r="H195" s="6"/>
      <c r="I195" s="6"/>
    </row>
    <row r="197" spans="2:9" ht="15.6" x14ac:dyDescent="0.3">
      <c r="B197" s="17" t="s">
        <v>49</v>
      </c>
      <c r="C197" s="17"/>
      <c r="D197" s="17"/>
    </row>
    <row r="198" spans="2:9" x14ac:dyDescent="0.3">
      <c r="B198" s="4" t="s">
        <v>15</v>
      </c>
      <c r="C198" s="5">
        <v>0</v>
      </c>
      <c r="D198" s="5">
        <v>0</v>
      </c>
      <c r="E198" s="5">
        <v>400</v>
      </c>
      <c r="F198" s="5">
        <v>0</v>
      </c>
      <c r="G198" s="5">
        <v>95605</v>
      </c>
      <c r="H198" s="5">
        <v>0</v>
      </c>
      <c r="I198" s="5">
        <v>200</v>
      </c>
    </row>
    <row r="199" spans="2:9" x14ac:dyDescent="0.3">
      <c r="B199" s="4" t="s">
        <v>38</v>
      </c>
      <c r="C199" s="5">
        <v>40</v>
      </c>
      <c r="D199" s="5">
        <v>7505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</row>
    <row r="200" spans="2:9" x14ac:dyDescent="0.3">
      <c r="B200" s="4" t="s">
        <v>17</v>
      </c>
      <c r="C200" s="5">
        <v>900</v>
      </c>
      <c r="D200" s="5">
        <v>228908</v>
      </c>
      <c r="E200" s="5">
        <v>0</v>
      </c>
      <c r="F200" s="5">
        <v>0</v>
      </c>
      <c r="G200" s="5">
        <v>0</v>
      </c>
      <c r="H200" s="5">
        <v>300</v>
      </c>
      <c r="I200" s="5">
        <v>0</v>
      </c>
    </row>
    <row r="201" spans="2:9" x14ac:dyDescent="0.3">
      <c r="B201" s="4" t="s">
        <v>18</v>
      </c>
      <c r="C201" s="5">
        <v>9660</v>
      </c>
      <c r="D201" s="5">
        <v>3852828</v>
      </c>
      <c r="E201" s="5">
        <v>400</v>
      </c>
      <c r="F201" s="5">
        <v>62960</v>
      </c>
      <c r="G201" s="5">
        <v>104135</v>
      </c>
      <c r="H201" s="5">
        <v>10000</v>
      </c>
      <c r="I201" s="5">
        <v>0</v>
      </c>
    </row>
    <row r="202" spans="2:9" x14ac:dyDescent="0.3">
      <c r="B202" s="4" t="s">
        <v>20</v>
      </c>
      <c r="C202" s="5">
        <v>1000</v>
      </c>
      <c r="D202" s="5">
        <v>14200</v>
      </c>
      <c r="E202" s="5">
        <v>3900</v>
      </c>
      <c r="F202" s="5">
        <v>65480</v>
      </c>
      <c r="G202" s="5">
        <v>0</v>
      </c>
      <c r="H202" s="5">
        <v>0</v>
      </c>
      <c r="I202" s="5">
        <v>0</v>
      </c>
    </row>
    <row r="203" spans="2:9" x14ac:dyDescent="0.3">
      <c r="B203" s="4" t="s">
        <v>21</v>
      </c>
      <c r="C203" s="5">
        <v>79154</v>
      </c>
      <c r="D203" s="5">
        <v>30022271</v>
      </c>
      <c r="E203" s="5">
        <v>48384</v>
      </c>
      <c r="F203" s="5">
        <v>8717642</v>
      </c>
      <c r="G203" s="5">
        <v>10288105</v>
      </c>
      <c r="H203" s="5">
        <v>49000</v>
      </c>
      <c r="I203" s="5">
        <v>15000</v>
      </c>
    </row>
    <row r="204" spans="2:9" x14ac:dyDescent="0.3">
      <c r="B204" s="4" t="s">
        <v>22</v>
      </c>
      <c r="C204" s="5">
        <v>3145</v>
      </c>
      <c r="D204" s="5">
        <v>1393705</v>
      </c>
      <c r="E204" s="5">
        <v>1635</v>
      </c>
      <c r="F204" s="5">
        <v>731826</v>
      </c>
      <c r="G204" s="5">
        <v>23290</v>
      </c>
      <c r="H204" s="5">
        <v>1500</v>
      </c>
      <c r="I204" s="5">
        <v>0</v>
      </c>
    </row>
    <row r="205" spans="2:9" x14ac:dyDescent="0.3">
      <c r="B205" s="4" t="s">
        <v>23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27940420</v>
      </c>
    </row>
    <row r="206" spans="2:9" x14ac:dyDescent="0.3">
      <c r="B206" s="4" t="s">
        <v>24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90000</v>
      </c>
      <c r="I206" s="5">
        <v>0</v>
      </c>
    </row>
    <row r="207" spans="2:9" x14ac:dyDescent="0.3">
      <c r="B207" s="4" t="s">
        <v>26</v>
      </c>
      <c r="C207" s="5">
        <v>0</v>
      </c>
      <c r="D207" s="5">
        <v>0</v>
      </c>
      <c r="E207" s="5">
        <v>1160</v>
      </c>
      <c r="F207" s="5">
        <v>108455</v>
      </c>
      <c r="G207" s="5">
        <v>0</v>
      </c>
      <c r="H207" s="5">
        <v>0</v>
      </c>
      <c r="I207" s="5">
        <v>0</v>
      </c>
    </row>
    <row r="208" spans="2:9" x14ac:dyDescent="0.3">
      <c r="B208" s="4" t="s">
        <v>27</v>
      </c>
      <c r="C208" s="5">
        <v>6293</v>
      </c>
      <c r="D208" s="5">
        <v>460709</v>
      </c>
      <c r="E208" s="5">
        <v>6215</v>
      </c>
      <c r="F208" s="5">
        <v>435110</v>
      </c>
      <c r="G208" s="5">
        <v>69460</v>
      </c>
      <c r="H208" s="5">
        <v>0</v>
      </c>
      <c r="I208" s="5">
        <v>5000</v>
      </c>
    </row>
    <row r="209" spans="2:9" x14ac:dyDescent="0.3">
      <c r="B209" s="4" t="s">
        <v>34</v>
      </c>
      <c r="C209" s="5">
        <v>239770</v>
      </c>
      <c r="D209" s="5">
        <v>719509</v>
      </c>
      <c r="E209" s="5">
        <v>113850</v>
      </c>
      <c r="F209" s="5">
        <v>120890</v>
      </c>
      <c r="G209" s="5">
        <v>340200</v>
      </c>
      <c r="H209" s="5">
        <v>100000</v>
      </c>
      <c r="I209" s="5">
        <v>0</v>
      </c>
    </row>
    <row r="210" spans="2:9" x14ac:dyDescent="0.3">
      <c r="B210" s="4" t="s">
        <v>28</v>
      </c>
      <c r="C210" s="5">
        <v>0</v>
      </c>
      <c r="D210" s="5">
        <v>0</v>
      </c>
      <c r="E210" s="5">
        <v>2000</v>
      </c>
      <c r="F210" s="5">
        <v>0</v>
      </c>
      <c r="G210" s="5">
        <v>10000</v>
      </c>
      <c r="H210" s="5">
        <v>0</v>
      </c>
      <c r="I210" s="5">
        <v>0</v>
      </c>
    </row>
    <row r="211" spans="2:9" x14ac:dyDescent="0.3">
      <c r="B211" s="4" t="s">
        <v>29</v>
      </c>
      <c r="C211" s="5">
        <v>0</v>
      </c>
      <c r="D211" s="5">
        <v>0</v>
      </c>
      <c r="E211" s="5">
        <v>10000</v>
      </c>
      <c r="F211" s="5">
        <v>138800</v>
      </c>
      <c r="G211" s="5">
        <v>0</v>
      </c>
      <c r="H211" s="5">
        <v>0</v>
      </c>
      <c r="I211" s="5">
        <v>20000</v>
      </c>
    </row>
    <row r="212" spans="2:9" x14ac:dyDescent="0.3">
      <c r="B212" s="4" t="s">
        <v>30</v>
      </c>
      <c r="C212" s="5">
        <v>165</v>
      </c>
      <c r="D212" s="5">
        <v>1780</v>
      </c>
      <c r="E212" s="5">
        <v>8480</v>
      </c>
      <c r="F212" s="5">
        <v>119070</v>
      </c>
      <c r="G212" s="5">
        <v>0</v>
      </c>
      <c r="H212" s="5">
        <v>0</v>
      </c>
      <c r="I212" s="5">
        <v>3000</v>
      </c>
    </row>
    <row r="213" spans="2:9" x14ac:dyDescent="0.3">
      <c r="B213" s="4" t="s">
        <v>31</v>
      </c>
      <c r="C213" s="5">
        <v>2045</v>
      </c>
      <c r="D213" s="5">
        <v>718365</v>
      </c>
      <c r="E213" s="5">
        <v>13295</v>
      </c>
      <c r="F213" s="5">
        <v>464887</v>
      </c>
      <c r="G213" s="5">
        <v>4433115</v>
      </c>
      <c r="H213" s="5">
        <v>0</v>
      </c>
      <c r="I213" s="5">
        <v>10500</v>
      </c>
    </row>
    <row r="214" spans="2:9" ht="15.6" x14ac:dyDescent="0.3">
      <c r="B214" s="18" t="s">
        <v>32</v>
      </c>
      <c r="C214" s="18"/>
      <c r="D214" s="7">
        <f>SUM(D198:D213)</f>
        <v>37419780</v>
      </c>
      <c r="E214" s="8"/>
      <c r="F214" s="7">
        <f>SUM(F198:F213)</f>
        <v>10965120</v>
      </c>
      <c r="G214" s="7">
        <f>SUM(G198:G213)</f>
        <v>15363910</v>
      </c>
      <c r="H214" s="6"/>
      <c r="I214" s="6"/>
    </row>
    <row r="216" spans="2:9" ht="15.6" x14ac:dyDescent="0.3">
      <c r="B216" s="17" t="s">
        <v>50</v>
      </c>
      <c r="C216" s="17"/>
      <c r="D216" s="17"/>
    </row>
    <row r="217" spans="2:9" x14ac:dyDescent="0.3">
      <c r="B217" s="4" t="s">
        <v>15</v>
      </c>
      <c r="C217" s="5">
        <v>20</v>
      </c>
      <c r="D217" s="5">
        <v>4410</v>
      </c>
      <c r="E217" s="5">
        <v>20</v>
      </c>
      <c r="F217" s="5">
        <v>4800</v>
      </c>
      <c r="G217" s="5">
        <v>0</v>
      </c>
      <c r="H217" s="5">
        <v>0</v>
      </c>
      <c r="I217" s="5">
        <v>0</v>
      </c>
    </row>
    <row r="218" spans="2:9" x14ac:dyDescent="0.3">
      <c r="B218" s="4" t="s">
        <v>48</v>
      </c>
      <c r="C218" s="5">
        <v>10</v>
      </c>
      <c r="D218" s="5">
        <v>1900</v>
      </c>
      <c r="E218" s="5">
        <v>10</v>
      </c>
      <c r="F218" s="5">
        <v>0</v>
      </c>
      <c r="G218" s="5">
        <v>2145</v>
      </c>
      <c r="H218" s="5">
        <v>0</v>
      </c>
      <c r="I218" s="5">
        <v>0</v>
      </c>
    </row>
    <row r="219" spans="2:9" x14ac:dyDescent="0.3">
      <c r="B219" s="4" t="s">
        <v>38</v>
      </c>
      <c r="C219" s="5">
        <v>210</v>
      </c>
      <c r="D219" s="5">
        <v>39570</v>
      </c>
      <c r="E219" s="5">
        <v>0</v>
      </c>
      <c r="F219" s="5">
        <v>0</v>
      </c>
      <c r="G219" s="5">
        <v>0</v>
      </c>
      <c r="H219" s="5">
        <v>1500</v>
      </c>
      <c r="I219" s="5">
        <v>0</v>
      </c>
    </row>
    <row r="220" spans="2:9" x14ac:dyDescent="0.3">
      <c r="B220" s="4" t="s">
        <v>16</v>
      </c>
      <c r="C220" s="5">
        <v>10</v>
      </c>
      <c r="D220" s="5">
        <v>600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</row>
    <row r="221" spans="2:9" x14ac:dyDescent="0.3">
      <c r="B221" s="4" t="s">
        <v>17</v>
      </c>
      <c r="C221" s="5">
        <v>250</v>
      </c>
      <c r="D221" s="5">
        <v>63455</v>
      </c>
      <c r="E221" s="5">
        <v>0</v>
      </c>
      <c r="F221" s="5">
        <v>0</v>
      </c>
      <c r="G221" s="5">
        <v>0</v>
      </c>
      <c r="H221" s="5">
        <v>500</v>
      </c>
      <c r="I221" s="5">
        <v>0</v>
      </c>
    </row>
    <row r="222" spans="2:9" x14ac:dyDescent="0.3">
      <c r="B222" s="4" t="s">
        <v>18</v>
      </c>
      <c r="C222" s="5">
        <v>4820</v>
      </c>
      <c r="D222" s="5">
        <v>1916440</v>
      </c>
      <c r="E222" s="5">
        <v>990</v>
      </c>
      <c r="F222" s="5">
        <v>369550</v>
      </c>
      <c r="G222" s="5">
        <v>46200</v>
      </c>
      <c r="H222" s="5">
        <v>6000</v>
      </c>
      <c r="I222" s="5">
        <v>0</v>
      </c>
    </row>
    <row r="223" spans="2:9" x14ac:dyDescent="0.3">
      <c r="B223" s="4" t="s">
        <v>19</v>
      </c>
      <c r="C223" s="5">
        <v>1</v>
      </c>
      <c r="D223" s="5">
        <v>40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</row>
    <row r="224" spans="2:9" x14ac:dyDescent="0.3">
      <c r="B224" s="4" t="s">
        <v>20</v>
      </c>
      <c r="C224" s="5">
        <v>3100</v>
      </c>
      <c r="D224" s="5">
        <v>41900</v>
      </c>
      <c r="E224" s="5">
        <v>28400</v>
      </c>
      <c r="F224" s="5">
        <v>392270</v>
      </c>
      <c r="G224" s="5">
        <v>105120</v>
      </c>
      <c r="H224" s="5">
        <v>0</v>
      </c>
      <c r="I224" s="5">
        <v>20000</v>
      </c>
    </row>
    <row r="225" spans="2:9" x14ac:dyDescent="0.3">
      <c r="B225" s="4" t="s">
        <v>21</v>
      </c>
      <c r="C225" s="5">
        <v>163932</v>
      </c>
      <c r="D225" s="5">
        <v>62006368</v>
      </c>
      <c r="E225" s="5">
        <v>81856</v>
      </c>
      <c r="F225" s="5">
        <v>24379632</v>
      </c>
      <c r="G225" s="5">
        <v>7951056</v>
      </c>
      <c r="H225" s="5">
        <v>75000</v>
      </c>
      <c r="I225" s="5">
        <v>0</v>
      </c>
    </row>
    <row r="226" spans="2:9" x14ac:dyDescent="0.3">
      <c r="B226" s="4" t="s">
        <v>22</v>
      </c>
      <c r="C226" s="5">
        <v>9400</v>
      </c>
      <c r="D226" s="5">
        <v>4164059</v>
      </c>
      <c r="E226" s="5">
        <v>1915</v>
      </c>
      <c r="F226" s="5">
        <v>419550</v>
      </c>
      <c r="G226" s="5">
        <v>469470</v>
      </c>
      <c r="H226" s="5">
        <v>7500</v>
      </c>
      <c r="I226" s="5">
        <v>0</v>
      </c>
    </row>
    <row r="227" spans="2:9" x14ac:dyDescent="0.3">
      <c r="B227" s="4" t="s">
        <v>23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500000</v>
      </c>
      <c r="I227" s="5">
        <v>39063500</v>
      </c>
    </row>
    <row r="228" spans="2:9" x14ac:dyDescent="0.3">
      <c r="B228" s="4" t="s">
        <v>26</v>
      </c>
      <c r="C228" s="5">
        <v>2340</v>
      </c>
      <c r="D228" s="5">
        <v>201135</v>
      </c>
      <c r="E228" s="5">
        <v>7920</v>
      </c>
      <c r="F228" s="5">
        <v>290039</v>
      </c>
      <c r="G228" s="5">
        <v>475795</v>
      </c>
      <c r="H228" s="5">
        <v>0</v>
      </c>
      <c r="I228" s="5">
        <v>6500</v>
      </c>
    </row>
    <row r="229" spans="2:9" x14ac:dyDescent="0.3">
      <c r="B229" s="4" t="s">
        <v>27</v>
      </c>
      <c r="C229" s="5">
        <v>17963</v>
      </c>
      <c r="D229" s="5">
        <v>1329003</v>
      </c>
      <c r="E229" s="5">
        <v>48664</v>
      </c>
      <c r="F229" s="5">
        <v>3489860</v>
      </c>
      <c r="G229" s="5">
        <v>641836</v>
      </c>
      <c r="H229" s="5">
        <v>0</v>
      </c>
      <c r="I229" s="5">
        <v>25000</v>
      </c>
    </row>
    <row r="230" spans="2:9" x14ac:dyDescent="0.3">
      <c r="B230" s="4" t="s">
        <v>34</v>
      </c>
      <c r="C230" s="5">
        <v>246000</v>
      </c>
      <c r="D230" s="5">
        <v>688800</v>
      </c>
      <c r="E230" s="5">
        <v>276640</v>
      </c>
      <c r="F230" s="5">
        <v>877600</v>
      </c>
      <c r="G230" s="5">
        <v>242798</v>
      </c>
      <c r="H230" s="5">
        <v>100000</v>
      </c>
      <c r="I230" s="5">
        <v>100000</v>
      </c>
    </row>
    <row r="231" spans="2:9" x14ac:dyDescent="0.3">
      <c r="B231" s="4" t="s">
        <v>30</v>
      </c>
      <c r="C231" s="5">
        <v>915</v>
      </c>
      <c r="D231" s="5">
        <v>9112</v>
      </c>
      <c r="E231" s="5">
        <v>9165</v>
      </c>
      <c r="F231" s="5">
        <v>139741</v>
      </c>
      <c r="G231" s="5">
        <v>0</v>
      </c>
      <c r="H231" s="5">
        <v>0</v>
      </c>
      <c r="I231" s="5">
        <v>5000</v>
      </c>
    </row>
    <row r="232" spans="2:9" x14ac:dyDescent="0.3">
      <c r="B232" s="4" t="s">
        <v>31</v>
      </c>
      <c r="C232" s="5">
        <v>7507</v>
      </c>
      <c r="D232" s="5">
        <v>2618653</v>
      </c>
      <c r="E232" s="5">
        <v>9087</v>
      </c>
      <c r="F232" s="5">
        <v>2864623</v>
      </c>
      <c r="G232" s="5">
        <v>470730</v>
      </c>
      <c r="H232" s="5">
        <v>1500</v>
      </c>
      <c r="I232" s="5">
        <v>2600</v>
      </c>
    </row>
    <row r="233" spans="2:9" ht="15.6" x14ac:dyDescent="0.3">
      <c r="B233" s="18" t="s">
        <v>32</v>
      </c>
      <c r="C233" s="18"/>
      <c r="D233" s="7">
        <f>SUM(D217:D232)</f>
        <v>73085445</v>
      </c>
      <c r="E233" s="8"/>
      <c r="F233" s="7">
        <f>SUM(F217:F232)</f>
        <v>33227665</v>
      </c>
      <c r="G233" s="7">
        <f>SUM(G217:G232)</f>
        <v>10405150</v>
      </c>
      <c r="H233" s="6"/>
      <c r="I233" s="6"/>
    </row>
    <row r="235" spans="2:9" ht="15.6" x14ac:dyDescent="0.3">
      <c r="B235" s="17" t="s">
        <v>51</v>
      </c>
      <c r="C235" s="17"/>
      <c r="D235" s="17"/>
    </row>
    <row r="236" spans="2:9" x14ac:dyDescent="0.3">
      <c r="B236" s="4" t="s">
        <v>15</v>
      </c>
      <c r="C236" s="5">
        <v>50</v>
      </c>
      <c r="D236" s="5">
        <v>11125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</row>
    <row r="237" spans="2:9" x14ac:dyDescent="0.3">
      <c r="B237" s="4" t="s">
        <v>18</v>
      </c>
      <c r="C237" s="5">
        <v>900</v>
      </c>
      <c r="D237" s="5">
        <v>360540</v>
      </c>
      <c r="E237" s="5">
        <v>500</v>
      </c>
      <c r="F237" s="5">
        <v>209344</v>
      </c>
      <c r="G237" s="5">
        <v>0</v>
      </c>
      <c r="H237" s="5">
        <v>0</v>
      </c>
      <c r="I237" s="5">
        <v>0</v>
      </c>
    </row>
    <row r="238" spans="2:9" x14ac:dyDescent="0.3">
      <c r="B238" s="4" t="s">
        <v>21</v>
      </c>
      <c r="C238" s="5">
        <v>22523</v>
      </c>
      <c r="D238" s="5">
        <v>8499975</v>
      </c>
      <c r="E238" s="5">
        <v>3019</v>
      </c>
      <c r="F238" s="5">
        <v>1186396</v>
      </c>
      <c r="G238" s="5">
        <v>0</v>
      </c>
      <c r="H238" s="5">
        <v>17000</v>
      </c>
      <c r="I238" s="5">
        <v>0</v>
      </c>
    </row>
    <row r="239" spans="2:9" x14ac:dyDescent="0.3">
      <c r="B239" s="4" t="s">
        <v>22</v>
      </c>
      <c r="C239" s="5">
        <v>750</v>
      </c>
      <c r="D239" s="5">
        <v>332310</v>
      </c>
      <c r="E239" s="5">
        <v>200</v>
      </c>
      <c r="F239" s="5">
        <v>92500</v>
      </c>
      <c r="G239" s="5">
        <v>0</v>
      </c>
      <c r="H239" s="5">
        <v>1500</v>
      </c>
      <c r="I239" s="5">
        <v>0</v>
      </c>
    </row>
    <row r="240" spans="2:9" x14ac:dyDescent="0.3">
      <c r="B240" s="4" t="s">
        <v>23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5834440</v>
      </c>
    </row>
    <row r="241" spans="2:9" x14ac:dyDescent="0.3">
      <c r="B241" s="4" t="s">
        <v>26</v>
      </c>
      <c r="C241" s="5">
        <v>0</v>
      </c>
      <c r="D241" s="5">
        <v>0</v>
      </c>
      <c r="E241" s="5">
        <v>190</v>
      </c>
      <c r="F241" s="5">
        <v>18275</v>
      </c>
      <c r="G241" s="5">
        <v>0</v>
      </c>
      <c r="H241" s="5">
        <v>0</v>
      </c>
      <c r="I241" s="5">
        <v>0</v>
      </c>
    </row>
    <row r="242" spans="2:9" x14ac:dyDescent="0.3">
      <c r="B242" s="4" t="s">
        <v>27</v>
      </c>
      <c r="C242" s="5">
        <v>598</v>
      </c>
      <c r="D242" s="5">
        <v>43780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</row>
    <row r="243" spans="2:9" x14ac:dyDescent="0.3">
      <c r="B243" s="4" t="s">
        <v>34</v>
      </c>
      <c r="C243" s="5">
        <v>22230</v>
      </c>
      <c r="D243" s="5">
        <v>62605</v>
      </c>
      <c r="E243" s="5">
        <v>17220</v>
      </c>
      <c r="F243" s="5">
        <v>69740</v>
      </c>
      <c r="G243" s="5">
        <v>0</v>
      </c>
      <c r="H243" s="5">
        <v>100000</v>
      </c>
      <c r="I243" s="5">
        <v>0</v>
      </c>
    </row>
    <row r="244" spans="2:9" x14ac:dyDescent="0.3">
      <c r="B244" s="4" t="s">
        <v>31</v>
      </c>
      <c r="C244" s="5">
        <v>1033</v>
      </c>
      <c r="D244" s="5">
        <v>361200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</row>
    <row r="245" spans="2:9" ht="15.6" x14ac:dyDescent="0.3">
      <c r="B245" s="18" t="s">
        <v>32</v>
      </c>
      <c r="C245" s="18"/>
      <c r="D245" s="7">
        <f>SUM(D236:D244)</f>
        <v>9671535</v>
      </c>
      <c r="E245" s="8"/>
      <c r="F245" s="7">
        <f>SUM(F236:F244)</f>
        <v>1576255</v>
      </c>
      <c r="G245" s="7">
        <f>SUM(G236:G244)</f>
        <v>0</v>
      </c>
      <c r="H245" s="6"/>
      <c r="I245" s="6"/>
    </row>
    <row r="247" spans="2:9" ht="15.6" x14ac:dyDescent="0.3">
      <c r="B247" s="17" t="s">
        <v>52</v>
      </c>
      <c r="C247" s="17"/>
      <c r="D247" s="17"/>
    </row>
    <row r="248" spans="2:9" x14ac:dyDescent="0.3">
      <c r="B248" s="4" t="s">
        <v>15</v>
      </c>
      <c r="C248" s="5">
        <v>0</v>
      </c>
      <c r="D248" s="5">
        <v>0</v>
      </c>
      <c r="E248" s="5">
        <v>3470</v>
      </c>
      <c r="F248" s="5">
        <v>826106</v>
      </c>
      <c r="G248" s="5">
        <v>0</v>
      </c>
      <c r="H248" s="5">
        <v>0</v>
      </c>
      <c r="I248" s="5">
        <v>3100</v>
      </c>
    </row>
    <row r="249" spans="2:9" x14ac:dyDescent="0.3">
      <c r="B249" s="4" t="s">
        <v>48</v>
      </c>
      <c r="C249" s="5">
        <v>0</v>
      </c>
      <c r="D249" s="5">
        <v>0</v>
      </c>
      <c r="E249" s="5">
        <v>300</v>
      </c>
      <c r="F249" s="5">
        <v>64380</v>
      </c>
      <c r="G249" s="5">
        <v>0</v>
      </c>
      <c r="H249" s="5">
        <v>0</v>
      </c>
      <c r="I249" s="5">
        <v>0</v>
      </c>
    </row>
    <row r="250" spans="2:9" x14ac:dyDescent="0.3">
      <c r="B250" s="4" t="s">
        <v>38</v>
      </c>
      <c r="C250" s="5">
        <v>220</v>
      </c>
      <c r="D250" s="5">
        <v>41286</v>
      </c>
      <c r="E250" s="5">
        <v>2200</v>
      </c>
      <c r="F250" s="5">
        <v>458730</v>
      </c>
      <c r="G250" s="5">
        <v>0</v>
      </c>
      <c r="H250" s="5">
        <v>0</v>
      </c>
      <c r="I250" s="5">
        <v>1500</v>
      </c>
    </row>
    <row r="251" spans="2:9" x14ac:dyDescent="0.3">
      <c r="B251" s="4" t="s">
        <v>17</v>
      </c>
      <c r="C251" s="5">
        <v>50</v>
      </c>
      <c r="D251" s="5">
        <v>12765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</row>
    <row r="252" spans="2:9" x14ac:dyDescent="0.3">
      <c r="B252" s="4" t="s">
        <v>18</v>
      </c>
      <c r="C252" s="5">
        <v>47430</v>
      </c>
      <c r="D252" s="5">
        <v>19310895</v>
      </c>
      <c r="E252" s="5">
        <v>4750</v>
      </c>
      <c r="F252" s="5">
        <v>1951332</v>
      </c>
      <c r="G252" s="5">
        <v>0</v>
      </c>
      <c r="H252" s="5">
        <v>42000</v>
      </c>
      <c r="I252" s="5">
        <v>0</v>
      </c>
    </row>
    <row r="253" spans="2:9" x14ac:dyDescent="0.3">
      <c r="B253" s="4" t="s">
        <v>19</v>
      </c>
      <c r="C253" s="5">
        <v>200</v>
      </c>
      <c r="D253" s="5">
        <v>8035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</row>
    <row r="254" spans="2:9" x14ac:dyDescent="0.3">
      <c r="B254" s="4" t="s">
        <v>20</v>
      </c>
      <c r="C254" s="5">
        <v>4200</v>
      </c>
      <c r="D254" s="5">
        <v>61624</v>
      </c>
      <c r="E254" s="5">
        <v>4800</v>
      </c>
      <c r="F254" s="5">
        <v>81495</v>
      </c>
      <c r="G254" s="5">
        <v>0</v>
      </c>
      <c r="H254" s="5">
        <v>0</v>
      </c>
      <c r="I254" s="5">
        <v>10000</v>
      </c>
    </row>
    <row r="255" spans="2:9" x14ac:dyDescent="0.3">
      <c r="B255" s="4" t="s">
        <v>21</v>
      </c>
      <c r="C255" s="5">
        <v>768010</v>
      </c>
      <c r="D255" s="5">
        <v>294878843</v>
      </c>
      <c r="E255" s="5">
        <v>137108</v>
      </c>
      <c r="F255" s="5">
        <v>53243522</v>
      </c>
      <c r="G255" s="5">
        <v>0</v>
      </c>
      <c r="H255" s="5">
        <v>637550</v>
      </c>
      <c r="I255" s="5">
        <v>8050</v>
      </c>
    </row>
    <row r="256" spans="2:9" x14ac:dyDescent="0.3">
      <c r="B256" s="4" t="s">
        <v>22</v>
      </c>
      <c r="C256" s="5">
        <v>12235</v>
      </c>
      <c r="D256" s="5">
        <v>5477778</v>
      </c>
      <c r="E256" s="5">
        <v>13670</v>
      </c>
      <c r="F256" s="5">
        <v>6233816</v>
      </c>
      <c r="G256" s="5">
        <v>0</v>
      </c>
      <c r="H256" s="5">
        <v>7000</v>
      </c>
      <c r="I256" s="5">
        <v>10500</v>
      </c>
    </row>
    <row r="257" spans="2:9" x14ac:dyDescent="0.3">
      <c r="B257" s="4" t="s">
        <v>23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3020000</v>
      </c>
      <c r="I257" s="5">
        <v>255887000</v>
      </c>
    </row>
    <row r="258" spans="2:9" x14ac:dyDescent="0.3">
      <c r="B258" s="4" t="s">
        <v>24</v>
      </c>
      <c r="C258" s="5">
        <v>0</v>
      </c>
      <c r="D258" s="5">
        <v>0</v>
      </c>
      <c r="E258" s="5">
        <v>253000</v>
      </c>
      <c r="F258" s="5">
        <v>631410</v>
      </c>
      <c r="G258" s="5">
        <v>0</v>
      </c>
      <c r="H258" s="5">
        <v>0</v>
      </c>
      <c r="I258" s="5">
        <v>226000</v>
      </c>
    </row>
    <row r="259" spans="2:9" x14ac:dyDescent="0.3">
      <c r="B259" s="4" t="s">
        <v>45</v>
      </c>
      <c r="C259" s="5">
        <v>0</v>
      </c>
      <c r="D259" s="5">
        <v>0</v>
      </c>
      <c r="E259" s="5">
        <v>6700</v>
      </c>
      <c r="F259" s="5">
        <v>189610</v>
      </c>
      <c r="G259" s="5">
        <v>0</v>
      </c>
      <c r="H259" s="5">
        <v>0</v>
      </c>
      <c r="I259" s="5">
        <v>7000</v>
      </c>
    </row>
    <row r="260" spans="2:9" x14ac:dyDescent="0.3">
      <c r="B260" s="4" t="s">
        <v>25</v>
      </c>
      <c r="C260" s="5">
        <v>0</v>
      </c>
      <c r="D260" s="5">
        <v>0</v>
      </c>
      <c r="E260" s="5">
        <v>100</v>
      </c>
      <c r="F260" s="5">
        <v>23000</v>
      </c>
      <c r="G260" s="5">
        <v>0</v>
      </c>
      <c r="H260" s="5">
        <v>0</v>
      </c>
      <c r="I260" s="5">
        <v>0</v>
      </c>
    </row>
    <row r="261" spans="2:9" x14ac:dyDescent="0.3">
      <c r="B261" s="4" t="s">
        <v>26</v>
      </c>
      <c r="C261" s="5">
        <v>2900</v>
      </c>
      <c r="D261" s="5">
        <v>254716</v>
      </c>
      <c r="E261" s="5">
        <v>12860</v>
      </c>
      <c r="F261" s="5">
        <v>1196550</v>
      </c>
      <c r="G261" s="5">
        <v>0</v>
      </c>
      <c r="H261" s="5">
        <v>0</v>
      </c>
      <c r="I261" s="5">
        <v>8000</v>
      </c>
    </row>
    <row r="262" spans="2:9" x14ac:dyDescent="0.3">
      <c r="B262" s="4" t="s">
        <v>27</v>
      </c>
      <c r="C262" s="5">
        <v>29253</v>
      </c>
      <c r="D262" s="5">
        <v>2172285</v>
      </c>
      <c r="E262" s="5">
        <v>33915</v>
      </c>
      <c r="F262" s="5">
        <v>2681773</v>
      </c>
      <c r="G262" s="5">
        <v>0</v>
      </c>
      <c r="H262" s="5">
        <v>0</v>
      </c>
      <c r="I262" s="5">
        <v>11000</v>
      </c>
    </row>
    <row r="263" spans="2:9" x14ac:dyDescent="0.3">
      <c r="B263" s="4" t="s">
        <v>34</v>
      </c>
      <c r="C263" s="5">
        <v>485050</v>
      </c>
      <c r="D263" s="5">
        <v>1461089</v>
      </c>
      <c r="E263" s="5">
        <v>286230</v>
      </c>
      <c r="F263" s="5">
        <v>1144920</v>
      </c>
      <c r="G263" s="5">
        <v>0</v>
      </c>
      <c r="H263" s="5">
        <v>200000</v>
      </c>
      <c r="I263" s="5">
        <v>100000</v>
      </c>
    </row>
    <row r="264" spans="2:9" x14ac:dyDescent="0.3">
      <c r="B264" s="4" t="s">
        <v>29</v>
      </c>
      <c r="C264" s="5">
        <v>100</v>
      </c>
      <c r="D264" s="5">
        <v>700</v>
      </c>
      <c r="E264" s="5">
        <v>0</v>
      </c>
      <c r="F264" s="5">
        <v>0</v>
      </c>
      <c r="G264" s="5">
        <v>0</v>
      </c>
      <c r="H264" s="5">
        <v>0</v>
      </c>
      <c r="I264" s="5">
        <v>10000</v>
      </c>
    </row>
    <row r="265" spans="2:9" x14ac:dyDescent="0.3">
      <c r="B265" s="4" t="s">
        <v>30</v>
      </c>
      <c r="C265" s="5">
        <v>210</v>
      </c>
      <c r="D265" s="5">
        <v>2066</v>
      </c>
      <c r="E265" s="5">
        <v>22210</v>
      </c>
      <c r="F265" s="5">
        <v>334376</v>
      </c>
      <c r="G265" s="5">
        <v>0</v>
      </c>
      <c r="H265" s="5">
        <v>0</v>
      </c>
      <c r="I265" s="5">
        <v>17000</v>
      </c>
    </row>
    <row r="266" spans="2:9" x14ac:dyDescent="0.3">
      <c r="B266" s="4" t="s">
        <v>53</v>
      </c>
      <c r="C266" s="5">
        <v>0</v>
      </c>
      <c r="D266" s="5">
        <v>0</v>
      </c>
      <c r="E266" s="5">
        <v>10</v>
      </c>
      <c r="F266" s="5">
        <v>150</v>
      </c>
      <c r="G266" s="5">
        <v>0</v>
      </c>
      <c r="H266" s="5">
        <v>0</v>
      </c>
      <c r="I266" s="5">
        <v>0</v>
      </c>
    </row>
    <row r="267" spans="2:9" x14ac:dyDescent="0.3">
      <c r="B267" s="4" t="s">
        <v>31</v>
      </c>
      <c r="C267" s="5">
        <v>74180</v>
      </c>
      <c r="D267" s="5">
        <v>26415003</v>
      </c>
      <c r="E267" s="5">
        <v>72806</v>
      </c>
      <c r="F267" s="5">
        <v>26290410</v>
      </c>
      <c r="G267" s="5">
        <v>0</v>
      </c>
      <c r="H267" s="5">
        <v>53050</v>
      </c>
      <c r="I267" s="5">
        <v>50650</v>
      </c>
    </row>
    <row r="268" spans="2:9" ht="15.6" x14ac:dyDescent="0.3">
      <c r="B268" s="18" t="s">
        <v>32</v>
      </c>
      <c r="C268" s="18"/>
      <c r="D268" s="7">
        <f>SUM(D248:D267)</f>
        <v>350097085</v>
      </c>
      <c r="E268" s="8"/>
      <c r="F268" s="7">
        <f>SUM(F248:F267)</f>
        <v>95351580</v>
      </c>
      <c r="G268" s="7">
        <f>SUM(G248:G267)</f>
        <v>0</v>
      </c>
      <c r="H268" s="6"/>
      <c r="I268" s="6"/>
    </row>
    <row r="270" spans="2:9" ht="15.6" x14ac:dyDescent="0.3">
      <c r="B270" s="17" t="s">
        <v>54</v>
      </c>
      <c r="C270" s="17"/>
      <c r="D270" s="17"/>
    </row>
    <row r="271" spans="2:9" x14ac:dyDescent="0.3">
      <c r="B271" s="4" t="s">
        <v>15</v>
      </c>
      <c r="C271" s="5">
        <v>0</v>
      </c>
      <c r="D271" s="5">
        <v>0</v>
      </c>
      <c r="E271" s="5">
        <v>100</v>
      </c>
      <c r="F271" s="5">
        <v>24180</v>
      </c>
      <c r="G271" s="5">
        <v>0</v>
      </c>
      <c r="H271" s="5">
        <v>0</v>
      </c>
      <c r="I271" s="5">
        <v>100</v>
      </c>
    </row>
    <row r="272" spans="2:9" x14ac:dyDescent="0.3">
      <c r="B272" s="4" t="s">
        <v>48</v>
      </c>
      <c r="C272" s="5">
        <v>0</v>
      </c>
      <c r="D272" s="5">
        <v>0</v>
      </c>
      <c r="E272" s="5">
        <v>410</v>
      </c>
      <c r="F272" s="5">
        <v>87985</v>
      </c>
      <c r="G272" s="5">
        <v>0</v>
      </c>
      <c r="H272" s="5">
        <v>0</v>
      </c>
      <c r="I272" s="5">
        <v>0</v>
      </c>
    </row>
    <row r="273" spans="2:9" x14ac:dyDescent="0.3">
      <c r="B273" s="4" t="s">
        <v>38</v>
      </c>
      <c r="C273" s="5">
        <v>0</v>
      </c>
      <c r="D273" s="5">
        <v>0</v>
      </c>
      <c r="E273" s="5">
        <v>215</v>
      </c>
      <c r="F273" s="5">
        <v>44760</v>
      </c>
      <c r="G273" s="5">
        <v>0</v>
      </c>
      <c r="H273" s="5">
        <v>0</v>
      </c>
      <c r="I273" s="5">
        <v>0</v>
      </c>
    </row>
    <row r="274" spans="2:9" x14ac:dyDescent="0.3">
      <c r="B274" s="4" t="s">
        <v>17</v>
      </c>
      <c r="C274" s="5">
        <v>4380</v>
      </c>
      <c r="D274" s="5">
        <v>1119555</v>
      </c>
      <c r="E274" s="5">
        <v>3000</v>
      </c>
      <c r="F274" s="5">
        <v>809010</v>
      </c>
      <c r="G274" s="5">
        <v>0</v>
      </c>
      <c r="H274" s="5">
        <v>4200</v>
      </c>
      <c r="I274" s="5">
        <v>3000</v>
      </c>
    </row>
    <row r="275" spans="2:9" x14ac:dyDescent="0.3">
      <c r="B275" s="4" t="s">
        <v>18</v>
      </c>
      <c r="C275" s="5">
        <v>79160</v>
      </c>
      <c r="D275" s="5">
        <v>32087137</v>
      </c>
      <c r="E275" s="5">
        <v>6920</v>
      </c>
      <c r="F275" s="5">
        <v>2839567</v>
      </c>
      <c r="G275" s="5">
        <v>0</v>
      </c>
      <c r="H275" s="5">
        <v>72000</v>
      </c>
      <c r="I275" s="5">
        <v>0</v>
      </c>
    </row>
    <row r="276" spans="2:9" x14ac:dyDescent="0.3">
      <c r="B276" s="4" t="s">
        <v>19</v>
      </c>
      <c r="C276" s="5">
        <v>0</v>
      </c>
      <c r="D276" s="5">
        <v>0</v>
      </c>
      <c r="E276" s="5">
        <v>100</v>
      </c>
      <c r="F276" s="5">
        <v>5740</v>
      </c>
      <c r="G276" s="5">
        <v>0</v>
      </c>
      <c r="H276" s="5">
        <v>0</v>
      </c>
      <c r="I276" s="5">
        <v>0</v>
      </c>
    </row>
    <row r="277" spans="2:9" x14ac:dyDescent="0.3">
      <c r="B277" s="4" t="s">
        <v>20</v>
      </c>
      <c r="C277" s="5">
        <v>5400</v>
      </c>
      <c r="D277" s="5">
        <v>79040</v>
      </c>
      <c r="E277" s="5">
        <v>20200</v>
      </c>
      <c r="F277" s="5">
        <v>341230</v>
      </c>
      <c r="G277" s="5">
        <v>0</v>
      </c>
      <c r="H277" s="5">
        <v>0</v>
      </c>
      <c r="I277" s="5">
        <v>20000</v>
      </c>
    </row>
    <row r="278" spans="2:9" x14ac:dyDescent="0.3">
      <c r="B278" s="4" t="s">
        <v>21</v>
      </c>
      <c r="C278" s="5">
        <v>355161</v>
      </c>
      <c r="D278" s="5">
        <v>136273225</v>
      </c>
      <c r="E278" s="5">
        <v>116020</v>
      </c>
      <c r="F278" s="5">
        <v>45117477</v>
      </c>
      <c r="G278" s="5">
        <v>0</v>
      </c>
      <c r="H278" s="5">
        <v>270000</v>
      </c>
      <c r="I278" s="5">
        <v>15300</v>
      </c>
    </row>
    <row r="279" spans="2:9" x14ac:dyDescent="0.3">
      <c r="B279" s="4" t="s">
        <v>22</v>
      </c>
      <c r="C279" s="5">
        <v>20585</v>
      </c>
      <c r="D279" s="5">
        <v>9215025</v>
      </c>
      <c r="E279" s="5">
        <v>8665</v>
      </c>
      <c r="F279" s="5">
        <v>3934150</v>
      </c>
      <c r="G279" s="5">
        <v>0</v>
      </c>
      <c r="H279" s="5">
        <v>16000</v>
      </c>
      <c r="I279" s="5">
        <v>4000</v>
      </c>
    </row>
    <row r="280" spans="2:9" x14ac:dyDescent="0.3">
      <c r="B280" s="4" t="s">
        <v>23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5000000</v>
      </c>
      <c r="I280" s="5">
        <v>139070500</v>
      </c>
    </row>
    <row r="281" spans="2:9" x14ac:dyDescent="0.3">
      <c r="B281" s="4" t="s">
        <v>36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7000</v>
      </c>
      <c r="I281" s="5">
        <v>0</v>
      </c>
    </row>
    <row r="282" spans="2:9" x14ac:dyDescent="0.3">
      <c r="B282" s="4" t="s">
        <v>24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36000</v>
      </c>
      <c r="I282" s="5">
        <v>0</v>
      </c>
    </row>
    <row r="283" spans="2:9" x14ac:dyDescent="0.3">
      <c r="B283" s="4" t="s">
        <v>25</v>
      </c>
      <c r="C283" s="5">
        <v>20</v>
      </c>
      <c r="D283" s="5">
        <v>3880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</row>
    <row r="284" spans="2:9" x14ac:dyDescent="0.3">
      <c r="B284" s="4" t="s">
        <v>26</v>
      </c>
      <c r="C284" s="5">
        <v>50</v>
      </c>
      <c r="D284" s="5">
        <v>4430</v>
      </c>
      <c r="E284" s="5">
        <v>9350</v>
      </c>
      <c r="F284" s="5">
        <v>871805</v>
      </c>
      <c r="G284" s="5">
        <v>0</v>
      </c>
      <c r="H284" s="5">
        <v>0</v>
      </c>
      <c r="I284" s="5">
        <v>13000</v>
      </c>
    </row>
    <row r="285" spans="2:9" x14ac:dyDescent="0.3">
      <c r="B285" s="4" t="s">
        <v>27</v>
      </c>
      <c r="C285" s="5">
        <v>6690</v>
      </c>
      <c r="D285" s="5">
        <v>498159</v>
      </c>
      <c r="E285" s="5">
        <v>14489</v>
      </c>
      <c r="F285" s="5">
        <v>1144136</v>
      </c>
      <c r="G285" s="5">
        <v>0</v>
      </c>
      <c r="H285" s="5">
        <v>0</v>
      </c>
      <c r="I285" s="5">
        <v>11000</v>
      </c>
    </row>
    <row r="286" spans="2:9" x14ac:dyDescent="0.3">
      <c r="B286" s="4" t="s">
        <v>34</v>
      </c>
      <c r="C286" s="5">
        <v>197250</v>
      </c>
      <c r="D286" s="5">
        <v>592744</v>
      </c>
      <c r="E286" s="5">
        <v>79060</v>
      </c>
      <c r="F286" s="5">
        <v>316240</v>
      </c>
      <c r="G286" s="5">
        <v>0</v>
      </c>
      <c r="H286" s="5">
        <v>0</v>
      </c>
      <c r="I286" s="5">
        <v>0</v>
      </c>
    </row>
    <row r="287" spans="2:9" x14ac:dyDescent="0.3">
      <c r="B287" s="4" t="s">
        <v>29</v>
      </c>
      <c r="C287" s="5">
        <v>4000</v>
      </c>
      <c r="D287" s="5">
        <v>28000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</row>
    <row r="288" spans="2:9" x14ac:dyDescent="0.3">
      <c r="B288" s="4" t="s">
        <v>30</v>
      </c>
      <c r="C288" s="5">
        <v>60</v>
      </c>
      <c r="D288" s="5">
        <v>590</v>
      </c>
      <c r="E288" s="5">
        <v>7260</v>
      </c>
      <c r="F288" s="5">
        <v>108114</v>
      </c>
      <c r="G288" s="5">
        <v>0</v>
      </c>
      <c r="H288" s="5">
        <v>0</v>
      </c>
      <c r="I288" s="5">
        <v>10000</v>
      </c>
    </row>
    <row r="289" spans="2:9" x14ac:dyDescent="0.3">
      <c r="B289" s="4" t="s">
        <v>31</v>
      </c>
      <c r="C289" s="5">
        <v>21612</v>
      </c>
      <c r="D289" s="5">
        <v>7652510</v>
      </c>
      <c r="E289" s="5">
        <v>22360</v>
      </c>
      <c r="F289" s="5">
        <v>8069916</v>
      </c>
      <c r="G289" s="5">
        <v>0</v>
      </c>
      <c r="H289" s="5">
        <v>9000</v>
      </c>
      <c r="I289" s="5">
        <v>11000</v>
      </c>
    </row>
    <row r="290" spans="2:9" ht="15.6" x14ac:dyDescent="0.3">
      <c r="B290" s="18" t="s">
        <v>32</v>
      </c>
      <c r="C290" s="18"/>
      <c r="D290" s="7">
        <f>SUM(D271:D289)</f>
        <v>187554295</v>
      </c>
      <c r="E290" s="8"/>
      <c r="F290" s="7">
        <f>SUM(F271:F289)</f>
        <v>63714310</v>
      </c>
      <c r="G290" s="7">
        <f>SUM(G271:G289)</f>
        <v>0</v>
      </c>
      <c r="H290" s="6"/>
      <c r="I290" s="6"/>
    </row>
    <row r="292" spans="2:9" ht="15.6" x14ac:dyDescent="0.3">
      <c r="B292" s="17" t="s">
        <v>55</v>
      </c>
      <c r="C292" s="17"/>
      <c r="D292" s="17"/>
    </row>
    <row r="293" spans="2:9" x14ac:dyDescent="0.3">
      <c r="B293" s="4" t="s">
        <v>15</v>
      </c>
      <c r="C293" s="5">
        <v>700</v>
      </c>
      <c r="D293" s="5">
        <v>156435</v>
      </c>
      <c r="E293" s="5">
        <v>200</v>
      </c>
      <c r="F293" s="5">
        <v>48250</v>
      </c>
      <c r="G293" s="5">
        <v>0</v>
      </c>
      <c r="H293" s="5">
        <v>1100</v>
      </c>
      <c r="I293" s="5">
        <v>100</v>
      </c>
    </row>
    <row r="294" spans="2:9" x14ac:dyDescent="0.3">
      <c r="B294" s="4" t="s">
        <v>48</v>
      </c>
      <c r="C294" s="5">
        <v>290</v>
      </c>
      <c r="D294" s="5">
        <v>55158</v>
      </c>
      <c r="E294" s="5">
        <v>200</v>
      </c>
      <c r="F294" s="5">
        <v>42940</v>
      </c>
      <c r="G294" s="5">
        <v>0</v>
      </c>
      <c r="H294" s="5">
        <v>0</v>
      </c>
      <c r="I294" s="5">
        <v>0</v>
      </c>
    </row>
    <row r="295" spans="2:9" x14ac:dyDescent="0.3">
      <c r="B295" s="4" t="s">
        <v>38</v>
      </c>
      <c r="C295" s="5">
        <v>0</v>
      </c>
      <c r="D295" s="5">
        <v>0</v>
      </c>
      <c r="E295" s="5">
        <v>100</v>
      </c>
      <c r="F295" s="5">
        <v>0</v>
      </c>
      <c r="G295" s="5">
        <v>20825</v>
      </c>
      <c r="H295" s="5">
        <v>0</v>
      </c>
      <c r="I295" s="5">
        <v>0</v>
      </c>
    </row>
    <row r="296" spans="2:9" x14ac:dyDescent="0.3">
      <c r="B296" s="4" t="s">
        <v>17</v>
      </c>
      <c r="C296" s="5">
        <v>0</v>
      </c>
      <c r="D296" s="5">
        <v>0</v>
      </c>
      <c r="E296" s="5">
        <v>50</v>
      </c>
      <c r="F296" s="5">
        <v>13795</v>
      </c>
      <c r="G296" s="5">
        <v>0</v>
      </c>
      <c r="H296" s="5">
        <v>0</v>
      </c>
      <c r="I296" s="5">
        <v>0</v>
      </c>
    </row>
    <row r="297" spans="2:9" x14ac:dyDescent="0.3">
      <c r="B297" s="4" t="s">
        <v>18</v>
      </c>
      <c r="C297" s="5">
        <v>830</v>
      </c>
      <c r="D297" s="5">
        <v>332675</v>
      </c>
      <c r="E297" s="5">
        <v>6720</v>
      </c>
      <c r="F297" s="5">
        <v>2828090</v>
      </c>
      <c r="G297" s="5">
        <v>0</v>
      </c>
      <c r="H297" s="5">
        <v>0</v>
      </c>
      <c r="I297" s="5">
        <v>6100</v>
      </c>
    </row>
    <row r="298" spans="2:9" x14ac:dyDescent="0.3">
      <c r="B298" s="4" t="s">
        <v>20</v>
      </c>
      <c r="C298" s="5">
        <v>0</v>
      </c>
      <c r="D298" s="5">
        <v>0</v>
      </c>
      <c r="E298" s="5">
        <v>17900</v>
      </c>
      <c r="F298" s="5">
        <v>314265</v>
      </c>
      <c r="G298" s="5">
        <v>0</v>
      </c>
      <c r="H298" s="5">
        <v>20000</v>
      </c>
      <c r="I298" s="5">
        <v>40000</v>
      </c>
    </row>
    <row r="299" spans="2:9" x14ac:dyDescent="0.3">
      <c r="B299" s="4" t="s">
        <v>21</v>
      </c>
      <c r="C299" s="5">
        <v>115899</v>
      </c>
      <c r="D299" s="5">
        <v>44057249</v>
      </c>
      <c r="E299" s="5">
        <v>69060</v>
      </c>
      <c r="F299" s="5">
        <v>15649559</v>
      </c>
      <c r="G299" s="5">
        <v>11497265</v>
      </c>
      <c r="H299" s="5">
        <v>72500</v>
      </c>
      <c r="I299" s="5">
        <v>24710</v>
      </c>
    </row>
    <row r="300" spans="2:9" x14ac:dyDescent="0.3">
      <c r="B300" s="4" t="s">
        <v>22</v>
      </c>
      <c r="C300" s="5">
        <v>2740</v>
      </c>
      <c r="D300" s="5">
        <v>1213045</v>
      </c>
      <c r="E300" s="5">
        <v>3625</v>
      </c>
      <c r="F300" s="5">
        <v>1372385</v>
      </c>
      <c r="G300" s="5">
        <v>310005</v>
      </c>
      <c r="H300" s="5">
        <v>1000</v>
      </c>
      <c r="I300" s="5">
        <v>1500</v>
      </c>
    </row>
    <row r="301" spans="2:9" x14ac:dyDescent="0.3">
      <c r="B301" s="4" t="s">
        <v>23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7200000</v>
      </c>
      <c r="I301" s="5">
        <v>29879500</v>
      </c>
    </row>
    <row r="302" spans="2:9" x14ac:dyDescent="0.3">
      <c r="B302" s="4" t="s">
        <v>26</v>
      </c>
      <c r="C302" s="5">
        <v>4880</v>
      </c>
      <c r="D302" s="5">
        <v>425660</v>
      </c>
      <c r="E302" s="5">
        <v>6260</v>
      </c>
      <c r="F302" s="5">
        <v>307070</v>
      </c>
      <c r="G302" s="5">
        <v>293790</v>
      </c>
      <c r="H302" s="5">
        <v>0</v>
      </c>
      <c r="I302" s="5">
        <v>8500</v>
      </c>
    </row>
    <row r="303" spans="2:9" x14ac:dyDescent="0.3">
      <c r="B303" s="4" t="s">
        <v>27</v>
      </c>
      <c r="C303" s="5">
        <v>1682</v>
      </c>
      <c r="D303" s="5">
        <v>124105</v>
      </c>
      <c r="E303" s="5">
        <v>17407</v>
      </c>
      <c r="F303" s="5">
        <v>1066998</v>
      </c>
      <c r="G303" s="5">
        <v>401560</v>
      </c>
      <c r="H303" s="5">
        <v>0</v>
      </c>
      <c r="I303" s="5">
        <v>17000</v>
      </c>
    </row>
    <row r="304" spans="2:9" x14ac:dyDescent="0.3">
      <c r="B304" s="4" t="s">
        <v>34</v>
      </c>
      <c r="C304" s="5">
        <v>63260</v>
      </c>
      <c r="D304" s="5">
        <v>190840</v>
      </c>
      <c r="E304" s="5">
        <v>171830</v>
      </c>
      <c r="F304" s="5">
        <v>662300</v>
      </c>
      <c r="G304" s="5">
        <v>33615</v>
      </c>
      <c r="H304" s="5">
        <v>100000</v>
      </c>
      <c r="I304" s="5">
        <v>150000</v>
      </c>
    </row>
    <row r="305" spans="2:9" x14ac:dyDescent="0.3">
      <c r="B305" s="4" t="s">
        <v>30</v>
      </c>
      <c r="C305" s="5">
        <v>0</v>
      </c>
      <c r="D305" s="5">
        <v>0</v>
      </c>
      <c r="E305" s="5">
        <v>17250</v>
      </c>
      <c r="F305" s="5">
        <v>252840</v>
      </c>
      <c r="G305" s="5">
        <v>0</v>
      </c>
      <c r="H305" s="5">
        <v>0</v>
      </c>
      <c r="I305" s="5">
        <v>12000</v>
      </c>
    </row>
    <row r="306" spans="2:9" x14ac:dyDescent="0.3">
      <c r="B306" s="4" t="s">
        <v>31</v>
      </c>
      <c r="C306" s="5">
        <v>6970</v>
      </c>
      <c r="D306" s="5">
        <v>2452338</v>
      </c>
      <c r="E306" s="5">
        <v>14120</v>
      </c>
      <c r="F306" s="5">
        <v>4377638</v>
      </c>
      <c r="G306" s="5">
        <v>818645</v>
      </c>
      <c r="H306" s="5">
        <v>7000</v>
      </c>
      <c r="I306" s="5">
        <v>11600</v>
      </c>
    </row>
    <row r="307" spans="2:9" ht="15.6" x14ac:dyDescent="0.3">
      <c r="B307" s="18" t="s">
        <v>32</v>
      </c>
      <c r="C307" s="18"/>
      <c r="D307" s="7">
        <f>SUM(D293:D306)</f>
        <v>49007505</v>
      </c>
      <c r="E307" s="8"/>
      <c r="F307" s="7">
        <f>SUM(F293:F306)</f>
        <v>26936130</v>
      </c>
      <c r="G307" s="7">
        <f>SUM(G293:G306)</f>
        <v>13375705</v>
      </c>
      <c r="H307" s="6"/>
      <c r="I307" s="6"/>
    </row>
    <row r="309" spans="2:9" ht="15.6" x14ac:dyDescent="0.3">
      <c r="B309" s="17" t="s">
        <v>56</v>
      </c>
      <c r="C309" s="17"/>
      <c r="D309" s="17"/>
    </row>
    <row r="310" spans="2:9" x14ac:dyDescent="0.3">
      <c r="B310" s="4" t="s">
        <v>15</v>
      </c>
      <c r="C310" s="5">
        <v>200</v>
      </c>
      <c r="D310" s="5">
        <v>44740</v>
      </c>
      <c r="E310" s="5">
        <v>300</v>
      </c>
      <c r="F310" s="5">
        <v>72135</v>
      </c>
      <c r="G310" s="5">
        <v>0</v>
      </c>
      <c r="H310" s="5">
        <v>200</v>
      </c>
      <c r="I310" s="5">
        <v>500</v>
      </c>
    </row>
    <row r="311" spans="2:9" x14ac:dyDescent="0.3">
      <c r="B311" s="4" t="s">
        <v>48</v>
      </c>
      <c r="C311" s="5">
        <v>0</v>
      </c>
      <c r="D311" s="5">
        <v>0</v>
      </c>
      <c r="E311" s="5">
        <v>10</v>
      </c>
      <c r="F311" s="5">
        <v>0</v>
      </c>
      <c r="G311" s="5">
        <v>2145</v>
      </c>
      <c r="H311" s="5">
        <v>0</v>
      </c>
      <c r="I311" s="5">
        <v>0</v>
      </c>
    </row>
    <row r="312" spans="2:9" x14ac:dyDescent="0.3">
      <c r="B312" s="4" t="s">
        <v>38</v>
      </c>
      <c r="C312" s="5">
        <v>81</v>
      </c>
      <c r="D312" s="5">
        <v>15232</v>
      </c>
      <c r="E312" s="5">
        <v>240</v>
      </c>
      <c r="F312" s="5">
        <v>0</v>
      </c>
      <c r="G312" s="5">
        <v>49614</v>
      </c>
      <c r="H312" s="5">
        <v>0</v>
      </c>
      <c r="I312" s="5">
        <v>0</v>
      </c>
    </row>
    <row r="313" spans="2:9" x14ac:dyDescent="0.3">
      <c r="B313" s="4" t="s">
        <v>17</v>
      </c>
      <c r="C313" s="5">
        <v>1900</v>
      </c>
      <c r="D313" s="5">
        <v>482355</v>
      </c>
      <c r="E313" s="5">
        <v>0</v>
      </c>
      <c r="F313" s="5">
        <v>0</v>
      </c>
      <c r="G313" s="5">
        <v>0</v>
      </c>
      <c r="H313" s="5">
        <v>1700</v>
      </c>
      <c r="I313" s="5">
        <v>0</v>
      </c>
    </row>
    <row r="314" spans="2:9" x14ac:dyDescent="0.3">
      <c r="B314" s="4" t="s">
        <v>18</v>
      </c>
      <c r="C314" s="5">
        <v>6360</v>
      </c>
      <c r="D314" s="5">
        <v>2527470</v>
      </c>
      <c r="E314" s="5">
        <v>3800</v>
      </c>
      <c r="F314" s="5">
        <v>967433</v>
      </c>
      <c r="G314" s="5">
        <v>626235</v>
      </c>
      <c r="H314" s="5">
        <v>4500</v>
      </c>
      <c r="I314" s="5">
        <v>2000</v>
      </c>
    </row>
    <row r="315" spans="2:9" x14ac:dyDescent="0.3">
      <c r="B315" s="4" t="s">
        <v>19</v>
      </c>
      <c r="C315" s="5">
        <v>2200</v>
      </c>
      <c r="D315" s="5">
        <v>88835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</row>
    <row r="316" spans="2:9" x14ac:dyDescent="0.3">
      <c r="B316" s="4" t="s">
        <v>20</v>
      </c>
      <c r="C316" s="5">
        <v>16700</v>
      </c>
      <c r="D316" s="5">
        <v>226955</v>
      </c>
      <c r="E316" s="5">
        <v>8700</v>
      </c>
      <c r="F316" s="5">
        <v>62900</v>
      </c>
      <c r="G316" s="5">
        <v>89060</v>
      </c>
      <c r="H316" s="5">
        <v>0</v>
      </c>
      <c r="I316" s="5">
        <v>10000</v>
      </c>
    </row>
    <row r="317" spans="2:9" x14ac:dyDescent="0.3">
      <c r="B317" s="4" t="s">
        <v>21</v>
      </c>
      <c r="C317" s="5">
        <v>437969</v>
      </c>
      <c r="D317" s="5">
        <v>166932239</v>
      </c>
      <c r="E317" s="5">
        <v>87103</v>
      </c>
      <c r="F317" s="5">
        <v>25142685</v>
      </c>
      <c r="G317" s="5">
        <v>9238209</v>
      </c>
      <c r="H317" s="5">
        <v>367000</v>
      </c>
      <c r="I317" s="5">
        <v>15000</v>
      </c>
    </row>
    <row r="318" spans="2:9" x14ac:dyDescent="0.3">
      <c r="B318" s="4" t="s">
        <v>22</v>
      </c>
      <c r="C318" s="5">
        <v>4920</v>
      </c>
      <c r="D318" s="5">
        <v>2180777</v>
      </c>
      <c r="E318" s="5">
        <v>2480</v>
      </c>
      <c r="F318" s="5">
        <v>850593</v>
      </c>
      <c r="G318" s="5">
        <v>299735</v>
      </c>
      <c r="H318" s="5">
        <v>3000</v>
      </c>
      <c r="I318" s="5">
        <v>0</v>
      </c>
    </row>
    <row r="319" spans="2:9" x14ac:dyDescent="0.3">
      <c r="B319" s="4" t="s">
        <v>23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1500000</v>
      </c>
      <c r="I319" s="5">
        <v>146873410</v>
      </c>
    </row>
    <row r="320" spans="2:9" x14ac:dyDescent="0.3">
      <c r="B320" s="4" t="s">
        <v>36</v>
      </c>
      <c r="C320" s="5">
        <v>990</v>
      </c>
      <c r="D320" s="5">
        <v>87190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</row>
    <row r="321" spans="2:9" x14ac:dyDescent="0.3">
      <c r="B321" s="4" t="s">
        <v>45</v>
      </c>
      <c r="C321" s="5">
        <v>0</v>
      </c>
      <c r="D321" s="5">
        <v>0</v>
      </c>
      <c r="E321" s="5">
        <v>2400</v>
      </c>
      <c r="F321" s="5">
        <v>0</v>
      </c>
      <c r="G321" s="5">
        <v>67920</v>
      </c>
      <c r="H321" s="5">
        <v>0</v>
      </c>
      <c r="I321" s="5">
        <v>0</v>
      </c>
    </row>
    <row r="322" spans="2:9" x14ac:dyDescent="0.3">
      <c r="B322" s="4" t="s">
        <v>25</v>
      </c>
      <c r="C322" s="5">
        <v>0</v>
      </c>
      <c r="D322" s="5">
        <v>0</v>
      </c>
      <c r="E322" s="5">
        <v>290</v>
      </c>
      <c r="F322" s="5">
        <v>0</v>
      </c>
      <c r="G322" s="5">
        <v>66640</v>
      </c>
      <c r="H322" s="5">
        <v>0</v>
      </c>
      <c r="I322" s="5">
        <v>0</v>
      </c>
    </row>
    <row r="323" spans="2:9" x14ac:dyDescent="0.3">
      <c r="B323" s="4" t="s">
        <v>26</v>
      </c>
      <c r="C323" s="5">
        <v>590</v>
      </c>
      <c r="D323" s="5">
        <v>50639</v>
      </c>
      <c r="E323" s="5">
        <v>3140</v>
      </c>
      <c r="F323" s="5">
        <v>285335</v>
      </c>
      <c r="G323" s="5">
        <v>19180</v>
      </c>
      <c r="H323" s="5">
        <v>0</v>
      </c>
      <c r="I323" s="5">
        <v>2500</v>
      </c>
    </row>
    <row r="324" spans="2:9" x14ac:dyDescent="0.3">
      <c r="B324" s="4" t="s">
        <v>27</v>
      </c>
      <c r="C324" s="5">
        <v>16310</v>
      </c>
      <c r="D324" s="5">
        <v>1204970</v>
      </c>
      <c r="E324" s="5">
        <v>12442</v>
      </c>
      <c r="F324" s="5">
        <v>508014</v>
      </c>
      <c r="G324" s="5">
        <v>549029</v>
      </c>
      <c r="H324" s="5">
        <v>5000</v>
      </c>
      <c r="I324" s="5">
        <v>0</v>
      </c>
    </row>
    <row r="325" spans="2:9" x14ac:dyDescent="0.3">
      <c r="B325" s="4" t="s">
        <v>34</v>
      </c>
      <c r="C325" s="5">
        <v>672180</v>
      </c>
      <c r="D325" s="5">
        <v>1885528</v>
      </c>
      <c r="E325" s="5">
        <v>309260</v>
      </c>
      <c r="F325" s="5">
        <v>1011130</v>
      </c>
      <c r="G325" s="5">
        <v>241383</v>
      </c>
      <c r="H325" s="5">
        <v>350000</v>
      </c>
      <c r="I325" s="5">
        <v>0</v>
      </c>
    </row>
    <row r="326" spans="2:9" x14ac:dyDescent="0.3">
      <c r="B326" s="4" t="s">
        <v>28</v>
      </c>
      <c r="C326" s="5">
        <v>0</v>
      </c>
      <c r="D326" s="5">
        <v>0</v>
      </c>
      <c r="E326" s="5">
        <v>5000</v>
      </c>
      <c r="F326" s="5">
        <v>0</v>
      </c>
      <c r="G326" s="5">
        <v>25000</v>
      </c>
      <c r="H326" s="5">
        <v>0</v>
      </c>
      <c r="I326" s="5">
        <v>0</v>
      </c>
    </row>
    <row r="327" spans="2:9" x14ac:dyDescent="0.3">
      <c r="B327" s="4" t="s">
        <v>29</v>
      </c>
      <c r="C327" s="5">
        <v>3740</v>
      </c>
      <c r="D327" s="5">
        <v>26180</v>
      </c>
      <c r="E327" s="5">
        <v>4960</v>
      </c>
      <c r="F327" s="5">
        <v>68595</v>
      </c>
      <c r="G327" s="5">
        <v>0</v>
      </c>
      <c r="H327" s="5">
        <v>0</v>
      </c>
      <c r="I327" s="5">
        <v>0</v>
      </c>
    </row>
    <row r="328" spans="2:9" x14ac:dyDescent="0.3">
      <c r="B328" s="4" t="s">
        <v>30</v>
      </c>
      <c r="C328" s="5">
        <v>2405</v>
      </c>
      <c r="D328" s="5">
        <v>24105</v>
      </c>
      <c r="E328" s="5">
        <v>51480</v>
      </c>
      <c r="F328" s="5">
        <v>699075</v>
      </c>
      <c r="G328" s="5">
        <v>14000</v>
      </c>
      <c r="H328" s="5">
        <v>0</v>
      </c>
      <c r="I328" s="5">
        <v>55000</v>
      </c>
    </row>
    <row r="329" spans="2:9" x14ac:dyDescent="0.3">
      <c r="B329" s="4" t="s">
        <v>31</v>
      </c>
      <c r="C329" s="5">
        <v>15222</v>
      </c>
      <c r="D329" s="5">
        <v>5343305</v>
      </c>
      <c r="E329" s="5">
        <v>15230</v>
      </c>
      <c r="F329" s="5">
        <v>4818725</v>
      </c>
      <c r="G329" s="5">
        <v>806910</v>
      </c>
      <c r="H329" s="5">
        <v>9000</v>
      </c>
      <c r="I329" s="5">
        <v>8050</v>
      </c>
    </row>
    <row r="330" spans="2:9" ht="15.6" x14ac:dyDescent="0.3">
      <c r="B330" s="18" t="s">
        <v>32</v>
      </c>
      <c r="C330" s="18"/>
      <c r="D330" s="7">
        <f>SUM(D310:D329)</f>
        <v>181120520</v>
      </c>
      <c r="E330" s="8"/>
      <c r="F330" s="7">
        <f>SUM(F310:F329)</f>
        <v>34486620</v>
      </c>
      <c r="G330" s="7">
        <f>SUM(G310:G329)</f>
        <v>12095060</v>
      </c>
      <c r="H330" s="6"/>
      <c r="I330" s="6"/>
    </row>
    <row r="332" spans="2:9" ht="17.399999999999999" x14ac:dyDescent="0.3">
      <c r="B332" s="22" t="s">
        <v>57</v>
      </c>
      <c r="C332" s="22"/>
      <c r="D332" s="22"/>
      <c r="E332" s="22"/>
      <c r="F332" s="22"/>
      <c r="G332" s="22"/>
      <c r="H332" s="22"/>
      <c r="I332" s="22"/>
    </row>
    <row r="333" spans="2:9" ht="15.6" x14ac:dyDescent="0.3">
      <c r="B333" s="17" t="s">
        <v>58</v>
      </c>
      <c r="C333" s="17"/>
      <c r="D333" s="17"/>
    </row>
    <row r="334" spans="2:9" x14ac:dyDescent="0.3">
      <c r="B334" s="4" t="s">
        <v>15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900</v>
      </c>
      <c r="I334" s="5">
        <v>1300</v>
      </c>
    </row>
    <row r="335" spans="2:9" x14ac:dyDescent="0.3">
      <c r="B335" s="4" t="s">
        <v>38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4000</v>
      </c>
      <c r="I335" s="5">
        <v>2000</v>
      </c>
    </row>
    <row r="336" spans="2:9" x14ac:dyDescent="0.3">
      <c r="B336" s="4" t="s">
        <v>17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7200</v>
      </c>
      <c r="I336" s="5">
        <v>16500</v>
      </c>
    </row>
    <row r="337" spans="2:9" x14ac:dyDescent="0.3">
      <c r="B337" s="4" t="s">
        <v>18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106500</v>
      </c>
      <c r="I337" s="5">
        <v>96000</v>
      </c>
    </row>
    <row r="338" spans="2:9" x14ac:dyDescent="0.3">
      <c r="B338" s="4" t="s">
        <v>19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5848</v>
      </c>
      <c r="I338" s="5">
        <v>5848</v>
      </c>
    </row>
    <row r="339" spans="2:9" x14ac:dyDescent="0.3">
      <c r="B339" s="4" t="s">
        <v>20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89000</v>
      </c>
      <c r="I339" s="5">
        <v>29000</v>
      </c>
    </row>
    <row r="340" spans="2:9" x14ac:dyDescent="0.3">
      <c r="B340" s="4" t="s">
        <v>21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772150</v>
      </c>
      <c r="I340" s="5">
        <v>774450</v>
      </c>
    </row>
    <row r="341" spans="2:9" x14ac:dyDescent="0.3">
      <c r="B341" s="4" t="s">
        <v>22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41800</v>
      </c>
      <c r="I341" s="5">
        <v>42300</v>
      </c>
    </row>
    <row r="342" spans="2:9" x14ac:dyDescent="0.3">
      <c r="B342" s="4" t="s">
        <v>23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496688005</v>
      </c>
      <c r="I342" s="5">
        <v>488602460</v>
      </c>
    </row>
    <row r="343" spans="2:9" x14ac:dyDescent="0.3">
      <c r="B343" s="4" t="s">
        <v>24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750000</v>
      </c>
      <c r="I343" s="5">
        <v>750000</v>
      </c>
    </row>
    <row r="344" spans="2:9" x14ac:dyDescent="0.3">
      <c r="B344" s="4" t="s">
        <v>26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168000</v>
      </c>
      <c r="I344" s="5">
        <v>215000</v>
      </c>
    </row>
    <row r="345" spans="2:9" x14ac:dyDescent="0.3">
      <c r="B345" s="4" t="s">
        <v>27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33900</v>
      </c>
      <c r="I345" s="5">
        <v>30000</v>
      </c>
    </row>
    <row r="346" spans="2:9" x14ac:dyDescent="0.3">
      <c r="B346" s="4" t="s">
        <v>34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300000</v>
      </c>
      <c r="I346" s="5">
        <v>400000</v>
      </c>
    </row>
    <row r="347" spans="2:9" x14ac:dyDescent="0.3">
      <c r="B347" s="4" t="s">
        <v>28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20000</v>
      </c>
      <c r="I347" s="5">
        <v>20000</v>
      </c>
    </row>
    <row r="348" spans="2:9" x14ac:dyDescent="0.3">
      <c r="B348" s="4" t="s">
        <v>29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100000</v>
      </c>
      <c r="I348" s="5">
        <v>100000</v>
      </c>
    </row>
    <row r="349" spans="2:9" x14ac:dyDescent="0.3">
      <c r="B349" s="4" t="s">
        <v>30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60000</v>
      </c>
      <c r="I349" s="5">
        <v>30000</v>
      </c>
    </row>
    <row r="350" spans="2:9" x14ac:dyDescent="0.3">
      <c r="B350" s="4" t="s">
        <v>31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101900</v>
      </c>
      <c r="I350" s="5">
        <v>108050</v>
      </c>
    </row>
    <row r="351" spans="2:9" ht="15.6" x14ac:dyDescent="0.3">
      <c r="B351" s="18" t="s">
        <v>32</v>
      </c>
      <c r="C351" s="18"/>
      <c r="D351" s="7">
        <f>SUM(D334:D350)</f>
        <v>0</v>
      </c>
      <c r="E351" s="8"/>
      <c r="F351" s="7">
        <f>SUM(F334:F350)</f>
        <v>0</v>
      </c>
      <c r="G351" s="7">
        <f>SUM(G334:G350)</f>
        <v>0</v>
      </c>
      <c r="H351" s="6"/>
      <c r="I351" s="6"/>
    </row>
    <row r="353" spans="2:9" ht="15.6" x14ac:dyDescent="0.3">
      <c r="B353" s="17" t="s">
        <v>59</v>
      </c>
      <c r="C353" s="17"/>
      <c r="D353" s="17"/>
    </row>
    <row r="354" spans="2:9" x14ac:dyDescent="0.3">
      <c r="B354" s="4" t="s">
        <v>15</v>
      </c>
      <c r="C354" s="5">
        <v>1365</v>
      </c>
      <c r="D354" s="5">
        <v>304205</v>
      </c>
      <c r="E354" s="5">
        <v>0</v>
      </c>
      <c r="F354" s="5">
        <v>0</v>
      </c>
      <c r="G354" s="5">
        <v>0</v>
      </c>
      <c r="H354" s="5">
        <v>1300</v>
      </c>
      <c r="I354" s="5">
        <v>0</v>
      </c>
    </row>
    <row r="355" spans="2:9" x14ac:dyDescent="0.3">
      <c r="B355" s="4" t="s">
        <v>38</v>
      </c>
      <c r="C355" s="5">
        <v>0</v>
      </c>
      <c r="D355" s="5">
        <v>0</v>
      </c>
      <c r="E355" s="5">
        <v>1036</v>
      </c>
      <c r="F355" s="5">
        <v>215126</v>
      </c>
      <c r="G355" s="5">
        <v>0</v>
      </c>
      <c r="H355" s="5">
        <v>0</v>
      </c>
      <c r="I355" s="5">
        <v>2000</v>
      </c>
    </row>
    <row r="356" spans="2:9" x14ac:dyDescent="0.3">
      <c r="B356" s="4" t="s">
        <v>17</v>
      </c>
      <c r="C356" s="5">
        <v>100</v>
      </c>
      <c r="D356" s="5">
        <v>25355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</row>
    <row r="357" spans="2:9" x14ac:dyDescent="0.3">
      <c r="B357" s="4" t="s">
        <v>18</v>
      </c>
      <c r="C357" s="5">
        <v>13240</v>
      </c>
      <c r="D357" s="5">
        <v>5292035</v>
      </c>
      <c r="E357" s="5">
        <v>4280</v>
      </c>
      <c r="F357" s="5">
        <v>1783524</v>
      </c>
      <c r="G357" s="5">
        <v>0</v>
      </c>
      <c r="H357" s="5">
        <v>13000</v>
      </c>
      <c r="I357" s="5">
        <v>3000</v>
      </c>
    </row>
    <row r="358" spans="2:9" x14ac:dyDescent="0.3">
      <c r="B358" s="4" t="s">
        <v>19</v>
      </c>
      <c r="C358" s="5">
        <v>0</v>
      </c>
      <c r="D358" s="5">
        <v>0</v>
      </c>
      <c r="E358" s="5">
        <v>1</v>
      </c>
      <c r="F358" s="5">
        <v>57</v>
      </c>
      <c r="G358" s="5">
        <v>0</v>
      </c>
      <c r="H358" s="5">
        <v>2371</v>
      </c>
      <c r="I358" s="5">
        <v>0</v>
      </c>
    </row>
    <row r="359" spans="2:9" x14ac:dyDescent="0.3">
      <c r="B359" s="4" t="s">
        <v>20</v>
      </c>
      <c r="C359" s="5">
        <v>9000</v>
      </c>
      <c r="D359" s="5">
        <v>122760</v>
      </c>
      <c r="E359" s="5">
        <v>12400</v>
      </c>
      <c r="F359" s="5">
        <v>138085</v>
      </c>
      <c r="G359" s="5">
        <v>79470</v>
      </c>
      <c r="H359" s="5">
        <v>0</v>
      </c>
      <c r="I359" s="5">
        <v>10000</v>
      </c>
    </row>
    <row r="360" spans="2:9" x14ac:dyDescent="0.3">
      <c r="B360" s="4" t="s">
        <v>21</v>
      </c>
      <c r="C360" s="5">
        <v>166321</v>
      </c>
      <c r="D360" s="5">
        <v>62909818</v>
      </c>
      <c r="E360" s="5">
        <v>82033</v>
      </c>
      <c r="F360" s="5">
        <v>20878870</v>
      </c>
      <c r="G360" s="5">
        <v>11384822</v>
      </c>
      <c r="H360" s="5">
        <v>100000</v>
      </c>
      <c r="I360" s="5">
        <v>20000</v>
      </c>
    </row>
    <row r="361" spans="2:9" x14ac:dyDescent="0.3">
      <c r="B361" s="4" t="s">
        <v>22</v>
      </c>
      <c r="C361" s="5">
        <v>9100</v>
      </c>
      <c r="D361" s="5">
        <v>4042855</v>
      </c>
      <c r="E361" s="5">
        <v>5920</v>
      </c>
      <c r="F361" s="5">
        <v>1600844</v>
      </c>
      <c r="G361" s="5">
        <v>1124502</v>
      </c>
      <c r="H361" s="5">
        <v>1500</v>
      </c>
      <c r="I361" s="5">
        <v>2000</v>
      </c>
    </row>
    <row r="362" spans="2:9" x14ac:dyDescent="0.3">
      <c r="B362" s="4" t="s">
        <v>23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6000000</v>
      </c>
      <c r="I362" s="5">
        <v>47312750</v>
      </c>
    </row>
    <row r="363" spans="2:9" x14ac:dyDescent="0.3">
      <c r="B363" s="4" t="s">
        <v>45</v>
      </c>
      <c r="C363" s="5">
        <v>0</v>
      </c>
      <c r="D363" s="5">
        <v>0</v>
      </c>
      <c r="E363" s="5">
        <v>20</v>
      </c>
      <c r="F363" s="5">
        <v>570</v>
      </c>
      <c r="G363" s="5">
        <v>0</v>
      </c>
      <c r="H363" s="5">
        <v>0</v>
      </c>
      <c r="I363" s="5">
        <v>0</v>
      </c>
    </row>
    <row r="364" spans="2:9" x14ac:dyDescent="0.3">
      <c r="B364" s="4" t="s">
        <v>25</v>
      </c>
      <c r="C364" s="5">
        <v>950</v>
      </c>
      <c r="D364" s="5">
        <v>186390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</row>
    <row r="365" spans="2:9" x14ac:dyDescent="0.3">
      <c r="B365" s="4" t="s">
        <v>26</v>
      </c>
      <c r="C365" s="5">
        <v>2860</v>
      </c>
      <c r="D365" s="5">
        <v>244985</v>
      </c>
      <c r="E365" s="5">
        <v>49490</v>
      </c>
      <c r="F365" s="5">
        <v>3863893</v>
      </c>
      <c r="G365" s="5">
        <v>919018</v>
      </c>
      <c r="H365" s="5">
        <v>0</v>
      </c>
      <c r="I365" s="5">
        <v>51000</v>
      </c>
    </row>
    <row r="366" spans="2:9" x14ac:dyDescent="0.3">
      <c r="B366" s="4" t="s">
        <v>27</v>
      </c>
      <c r="C366" s="5">
        <v>3132</v>
      </c>
      <c r="D366" s="5">
        <v>230745</v>
      </c>
      <c r="E366" s="5">
        <v>17463</v>
      </c>
      <c r="F366" s="5">
        <v>1015965</v>
      </c>
      <c r="G366" s="5">
        <v>466940</v>
      </c>
      <c r="H366" s="5">
        <v>0</v>
      </c>
      <c r="I366" s="5">
        <v>10000</v>
      </c>
    </row>
    <row r="367" spans="2:9" x14ac:dyDescent="0.3">
      <c r="B367" s="4" t="s">
        <v>34</v>
      </c>
      <c r="C367" s="5">
        <v>32660</v>
      </c>
      <c r="D367" s="5">
        <v>98235</v>
      </c>
      <c r="E367" s="5">
        <v>10</v>
      </c>
      <c r="F367" s="5">
        <v>41</v>
      </c>
      <c r="G367" s="5">
        <v>0</v>
      </c>
      <c r="H367" s="5">
        <v>100000</v>
      </c>
      <c r="I367" s="5">
        <v>0</v>
      </c>
    </row>
    <row r="368" spans="2:9" x14ac:dyDescent="0.3">
      <c r="B368" s="4" t="s">
        <v>30</v>
      </c>
      <c r="C368" s="5">
        <v>8200</v>
      </c>
      <c r="D368" s="5">
        <v>88973</v>
      </c>
      <c r="E368" s="5">
        <v>17800</v>
      </c>
      <c r="F368" s="5">
        <v>47740</v>
      </c>
      <c r="G368" s="5">
        <v>202860</v>
      </c>
      <c r="H368" s="5">
        <v>0</v>
      </c>
      <c r="I368" s="5">
        <v>10000</v>
      </c>
    </row>
    <row r="369" spans="2:9" x14ac:dyDescent="0.3">
      <c r="B369" s="4" t="s">
        <v>31</v>
      </c>
      <c r="C369" s="5">
        <v>13048</v>
      </c>
      <c r="D369" s="5">
        <v>4581079</v>
      </c>
      <c r="E369" s="5">
        <v>24302</v>
      </c>
      <c r="F369" s="5">
        <v>6439575</v>
      </c>
      <c r="G369" s="5">
        <v>2494683</v>
      </c>
      <c r="H369" s="5">
        <v>11450</v>
      </c>
      <c r="I369" s="5">
        <v>19600</v>
      </c>
    </row>
    <row r="370" spans="2:9" ht="15.6" x14ac:dyDescent="0.3">
      <c r="B370" s="18" t="s">
        <v>32</v>
      </c>
      <c r="C370" s="18"/>
      <c r="D370" s="7">
        <f>SUM(D354:D369)</f>
        <v>78127435</v>
      </c>
      <c r="E370" s="8"/>
      <c r="F370" s="7">
        <f>SUM(F354:F369)</f>
        <v>35984290</v>
      </c>
      <c r="G370" s="7">
        <f>SUM(G354:G369)</f>
        <v>16672295</v>
      </c>
      <c r="H370" s="6"/>
      <c r="I370" s="6"/>
    </row>
    <row r="372" spans="2:9" ht="15.6" x14ac:dyDescent="0.3">
      <c r="B372" s="17" t="s">
        <v>60</v>
      </c>
      <c r="C372" s="17"/>
      <c r="D372" s="17"/>
    </row>
    <row r="373" spans="2:9" x14ac:dyDescent="0.3">
      <c r="B373" s="4" t="s">
        <v>15</v>
      </c>
      <c r="C373" s="5">
        <v>200</v>
      </c>
      <c r="D373" s="5">
        <v>45441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</row>
    <row r="374" spans="2:9" x14ac:dyDescent="0.3">
      <c r="B374" s="4" t="s">
        <v>38</v>
      </c>
      <c r="C374" s="5">
        <v>0</v>
      </c>
      <c r="D374" s="5">
        <v>0</v>
      </c>
      <c r="E374" s="5">
        <v>940</v>
      </c>
      <c r="F374" s="5">
        <v>196815</v>
      </c>
      <c r="G374" s="5">
        <v>0</v>
      </c>
      <c r="H374" s="5">
        <v>0</v>
      </c>
      <c r="I374" s="5">
        <v>0</v>
      </c>
    </row>
    <row r="375" spans="2:9" x14ac:dyDescent="0.3">
      <c r="B375" s="4" t="s">
        <v>17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200</v>
      </c>
      <c r="I375" s="5">
        <v>0</v>
      </c>
    </row>
    <row r="376" spans="2:9" x14ac:dyDescent="0.3">
      <c r="B376" s="4" t="s">
        <v>18</v>
      </c>
      <c r="C376" s="5">
        <v>12230</v>
      </c>
      <c r="D376" s="5">
        <v>4947975</v>
      </c>
      <c r="E376" s="5">
        <v>400</v>
      </c>
      <c r="F376" s="5">
        <v>163876</v>
      </c>
      <c r="G376" s="5">
        <v>0</v>
      </c>
      <c r="H376" s="5">
        <v>12500</v>
      </c>
      <c r="I376" s="5">
        <v>0</v>
      </c>
    </row>
    <row r="377" spans="2:9" x14ac:dyDescent="0.3">
      <c r="B377" s="4" t="s">
        <v>19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298</v>
      </c>
      <c r="I377" s="5">
        <v>0</v>
      </c>
    </row>
    <row r="378" spans="2:9" x14ac:dyDescent="0.3">
      <c r="B378" s="4" t="s">
        <v>20</v>
      </c>
      <c r="C378" s="5">
        <v>25700</v>
      </c>
      <c r="D378" s="5">
        <v>375840</v>
      </c>
      <c r="E378" s="5">
        <v>7400</v>
      </c>
      <c r="F378" s="5">
        <v>124345</v>
      </c>
      <c r="G378" s="5">
        <v>0</v>
      </c>
      <c r="H378" s="5">
        <v>0</v>
      </c>
      <c r="I378" s="5">
        <v>0</v>
      </c>
    </row>
    <row r="379" spans="2:9" x14ac:dyDescent="0.3">
      <c r="B379" s="4" t="s">
        <v>21</v>
      </c>
      <c r="C379" s="5">
        <v>278987</v>
      </c>
      <c r="D379" s="5">
        <v>107149264</v>
      </c>
      <c r="E379" s="5">
        <v>96815</v>
      </c>
      <c r="F379" s="5">
        <v>37669463</v>
      </c>
      <c r="G379" s="5">
        <v>0</v>
      </c>
      <c r="H379" s="5">
        <v>201000</v>
      </c>
      <c r="I379" s="5">
        <v>15000</v>
      </c>
    </row>
    <row r="380" spans="2:9" x14ac:dyDescent="0.3">
      <c r="B380" s="4" t="s">
        <v>22</v>
      </c>
      <c r="C380" s="5">
        <v>15515</v>
      </c>
      <c r="D380" s="5">
        <v>6924037</v>
      </c>
      <c r="E380" s="5">
        <v>2630</v>
      </c>
      <c r="F380" s="5">
        <v>1199579</v>
      </c>
      <c r="G380" s="5">
        <v>0</v>
      </c>
      <c r="H380" s="5">
        <v>13000</v>
      </c>
      <c r="I380" s="5">
        <v>1000</v>
      </c>
    </row>
    <row r="381" spans="2:9" x14ac:dyDescent="0.3">
      <c r="B381" s="4" t="s">
        <v>23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9008000</v>
      </c>
      <c r="I381" s="5">
        <v>91110500</v>
      </c>
    </row>
    <row r="382" spans="2:9" x14ac:dyDescent="0.3">
      <c r="B382" s="4" t="s">
        <v>24</v>
      </c>
      <c r="C382" s="5">
        <v>0</v>
      </c>
      <c r="D382" s="5">
        <v>0</v>
      </c>
      <c r="E382" s="5">
        <v>280000</v>
      </c>
      <c r="F382" s="5">
        <v>702000</v>
      </c>
      <c r="G382" s="5">
        <v>0</v>
      </c>
      <c r="H382" s="5">
        <v>0</v>
      </c>
      <c r="I382" s="5">
        <v>400000</v>
      </c>
    </row>
    <row r="383" spans="2:9" x14ac:dyDescent="0.3">
      <c r="B383" s="4" t="s">
        <v>26</v>
      </c>
      <c r="C383" s="5">
        <v>100</v>
      </c>
      <c r="D383" s="5">
        <v>8861</v>
      </c>
      <c r="E383" s="5">
        <v>11580</v>
      </c>
      <c r="F383" s="5">
        <v>1079877</v>
      </c>
      <c r="G383" s="5">
        <v>0</v>
      </c>
      <c r="H383" s="5">
        <v>0</v>
      </c>
      <c r="I383" s="5">
        <v>13000</v>
      </c>
    </row>
    <row r="384" spans="2:9" x14ac:dyDescent="0.3">
      <c r="B384" s="4" t="s">
        <v>27</v>
      </c>
      <c r="C384" s="5">
        <v>16853</v>
      </c>
      <c r="D384" s="5">
        <v>1246980</v>
      </c>
      <c r="E384" s="5">
        <v>17960</v>
      </c>
      <c r="F384" s="5">
        <v>1434457</v>
      </c>
      <c r="G384" s="5">
        <v>0</v>
      </c>
      <c r="H384" s="5">
        <v>0</v>
      </c>
      <c r="I384" s="5">
        <v>0</v>
      </c>
    </row>
    <row r="385" spans="2:9" x14ac:dyDescent="0.3">
      <c r="B385" s="4" t="s">
        <v>34</v>
      </c>
      <c r="C385" s="5">
        <v>64300</v>
      </c>
      <c r="D385" s="5">
        <v>192900</v>
      </c>
      <c r="E385" s="5">
        <v>7640</v>
      </c>
      <c r="F385" s="5">
        <v>30940</v>
      </c>
      <c r="G385" s="5">
        <v>0</v>
      </c>
      <c r="H385" s="5">
        <v>0</v>
      </c>
      <c r="I385" s="5">
        <v>0</v>
      </c>
    </row>
    <row r="386" spans="2:9" x14ac:dyDescent="0.3">
      <c r="B386" s="4" t="s">
        <v>29</v>
      </c>
      <c r="C386" s="5">
        <v>240</v>
      </c>
      <c r="D386" s="5">
        <v>1680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</row>
    <row r="387" spans="2:9" x14ac:dyDescent="0.3">
      <c r="B387" s="4" t="s">
        <v>30</v>
      </c>
      <c r="C387" s="5">
        <v>350</v>
      </c>
      <c r="D387" s="5">
        <v>3775</v>
      </c>
      <c r="E387" s="5">
        <v>13350</v>
      </c>
      <c r="F387" s="5">
        <v>198590</v>
      </c>
      <c r="G387" s="5">
        <v>0</v>
      </c>
      <c r="H387" s="5">
        <v>0</v>
      </c>
      <c r="I387" s="5">
        <v>20000</v>
      </c>
    </row>
    <row r="388" spans="2:9" x14ac:dyDescent="0.3">
      <c r="B388" s="4" t="s">
        <v>31</v>
      </c>
      <c r="C388" s="5">
        <v>21684</v>
      </c>
      <c r="D388" s="5">
        <v>7661462</v>
      </c>
      <c r="E388" s="5">
        <v>14873</v>
      </c>
      <c r="F388" s="5">
        <v>5384473</v>
      </c>
      <c r="G388" s="5">
        <v>0</v>
      </c>
      <c r="H388" s="5">
        <v>14000</v>
      </c>
      <c r="I388" s="5">
        <v>6280</v>
      </c>
    </row>
    <row r="389" spans="2:9" ht="15.6" x14ac:dyDescent="0.3">
      <c r="B389" s="18" t="s">
        <v>32</v>
      </c>
      <c r="C389" s="18"/>
      <c r="D389" s="7">
        <f>SUM(D373:D388)</f>
        <v>128558215</v>
      </c>
      <c r="E389" s="8"/>
      <c r="F389" s="7">
        <f>SUM(F373:F388)</f>
        <v>48184415</v>
      </c>
      <c r="G389" s="7">
        <f>SUM(G373:G388)</f>
        <v>0</v>
      </c>
      <c r="H389" s="6"/>
      <c r="I389" s="6"/>
    </row>
    <row r="391" spans="2:9" ht="15.6" x14ac:dyDescent="0.3">
      <c r="B391" s="17" t="s">
        <v>61</v>
      </c>
      <c r="C391" s="17"/>
      <c r="D391" s="17"/>
    </row>
    <row r="392" spans="2:9" x14ac:dyDescent="0.3">
      <c r="B392" s="4" t="s">
        <v>15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300</v>
      </c>
    </row>
    <row r="393" spans="2:9" x14ac:dyDescent="0.3">
      <c r="B393" s="4" t="s">
        <v>38</v>
      </c>
      <c r="C393" s="5">
        <v>0</v>
      </c>
      <c r="D393" s="5">
        <v>0</v>
      </c>
      <c r="E393" s="5">
        <v>950</v>
      </c>
      <c r="F393" s="5">
        <v>197760</v>
      </c>
      <c r="G393" s="5">
        <v>0</v>
      </c>
      <c r="H393" s="5">
        <v>0</v>
      </c>
      <c r="I393" s="5">
        <v>2000</v>
      </c>
    </row>
    <row r="394" spans="2:9" x14ac:dyDescent="0.3">
      <c r="B394" s="4" t="s">
        <v>18</v>
      </c>
      <c r="C394" s="5">
        <v>14700</v>
      </c>
      <c r="D394" s="5">
        <v>5882236</v>
      </c>
      <c r="E394" s="5">
        <v>200</v>
      </c>
      <c r="F394" s="5">
        <v>83433</v>
      </c>
      <c r="G394" s="5">
        <v>0</v>
      </c>
      <c r="H394" s="5">
        <v>16000</v>
      </c>
      <c r="I394" s="5">
        <v>0</v>
      </c>
    </row>
    <row r="395" spans="2:9" x14ac:dyDescent="0.3">
      <c r="B395" s="4" t="s">
        <v>19</v>
      </c>
      <c r="C395" s="5">
        <v>0</v>
      </c>
      <c r="D395" s="5">
        <v>0</v>
      </c>
      <c r="E395" s="5">
        <v>6236</v>
      </c>
      <c r="F395" s="5">
        <v>247255</v>
      </c>
      <c r="G395" s="5">
        <v>109900</v>
      </c>
      <c r="H395" s="5">
        <v>0</v>
      </c>
      <c r="I395" s="5">
        <v>5848</v>
      </c>
    </row>
    <row r="396" spans="2:9" x14ac:dyDescent="0.3">
      <c r="B396" s="4" t="s">
        <v>20</v>
      </c>
      <c r="C396" s="5">
        <v>0</v>
      </c>
      <c r="D396" s="5">
        <v>0</v>
      </c>
      <c r="E396" s="5">
        <v>2000</v>
      </c>
      <c r="F396" s="5">
        <v>0</v>
      </c>
      <c r="G396" s="5">
        <v>34840</v>
      </c>
      <c r="H396" s="5">
        <v>0</v>
      </c>
      <c r="I396" s="5">
        <v>0</v>
      </c>
    </row>
    <row r="397" spans="2:9" x14ac:dyDescent="0.3">
      <c r="B397" s="4" t="s">
        <v>21</v>
      </c>
      <c r="C397" s="5">
        <v>88467</v>
      </c>
      <c r="D397" s="5">
        <v>33530616</v>
      </c>
      <c r="E397" s="5">
        <v>58743</v>
      </c>
      <c r="F397" s="5">
        <v>17896151</v>
      </c>
      <c r="G397" s="5">
        <v>5287842</v>
      </c>
      <c r="H397" s="5">
        <v>39000</v>
      </c>
      <c r="I397" s="5">
        <v>3000</v>
      </c>
    </row>
    <row r="398" spans="2:9" x14ac:dyDescent="0.3">
      <c r="B398" s="4" t="s">
        <v>22</v>
      </c>
      <c r="C398" s="5">
        <v>3250</v>
      </c>
      <c r="D398" s="5">
        <v>1439963</v>
      </c>
      <c r="E398" s="5">
        <v>6755</v>
      </c>
      <c r="F398" s="5">
        <v>2072260</v>
      </c>
      <c r="G398" s="5">
        <v>1030345</v>
      </c>
      <c r="H398" s="5">
        <v>1300</v>
      </c>
      <c r="I398" s="5">
        <v>5000</v>
      </c>
    </row>
    <row r="399" spans="2:9" x14ac:dyDescent="0.3">
      <c r="B399" s="4" t="s">
        <v>23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4000000</v>
      </c>
      <c r="I399" s="5">
        <v>24191500</v>
      </c>
    </row>
    <row r="400" spans="2:9" x14ac:dyDescent="0.3">
      <c r="B400" s="4" t="s">
        <v>24</v>
      </c>
      <c r="C400" s="5">
        <v>5000</v>
      </c>
      <c r="D400" s="5">
        <v>11410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</row>
    <row r="401" spans="2:9" x14ac:dyDescent="0.3">
      <c r="B401" s="4" t="s">
        <v>26</v>
      </c>
      <c r="C401" s="5">
        <v>3370</v>
      </c>
      <c r="D401" s="5">
        <v>289975</v>
      </c>
      <c r="E401" s="5">
        <v>14260</v>
      </c>
      <c r="F401" s="5">
        <v>1036712</v>
      </c>
      <c r="G401" s="5">
        <v>340505</v>
      </c>
      <c r="H401" s="5">
        <v>0</v>
      </c>
      <c r="I401" s="5">
        <v>19000</v>
      </c>
    </row>
    <row r="402" spans="2:9" x14ac:dyDescent="0.3">
      <c r="B402" s="4" t="s">
        <v>27</v>
      </c>
      <c r="C402" s="5">
        <v>4582</v>
      </c>
      <c r="D402" s="5">
        <v>337744</v>
      </c>
      <c r="E402" s="5">
        <v>14928</v>
      </c>
      <c r="F402" s="5">
        <v>704710</v>
      </c>
      <c r="G402" s="5">
        <v>560745</v>
      </c>
      <c r="H402" s="5">
        <v>0</v>
      </c>
      <c r="I402" s="5">
        <v>0</v>
      </c>
    </row>
    <row r="403" spans="2:9" x14ac:dyDescent="0.3">
      <c r="B403" s="4" t="s">
        <v>34</v>
      </c>
      <c r="C403" s="5">
        <v>5950</v>
      </c>
      <c r="D403" s="5">
        <v>17850</v>
      </c>
      <c r="E403" s="5">
        <v>156240</v>
      </c>
      <c r="F403" s="5">
        <v>572025</v>
      </c>
      <c r="G403" s="5">
        <v>60750</v>
      </c>
      <c r="H403" s="5">
        <v>0</v>
      </c>
      <c r="I403" s="5">
        <v>160000</v>
      </c>
    </row>
    <row r="404" spans="2:9" x14ac:dyDescent="0.3">
      <c r="B404" s="4" t="s">
        <v>30</v>
      </c>
      <c r="C404" s="5">
        <v>2445</v>
      </c>
      <c r="D404" s="5">
        <v>23960</v>
      </c>
      <c r="E404" s="5">
        <v>2200</v>
      </c>
      <c r="F404" s="5">
        <v>25200</v>
      </c>
      <c r="G404" s="5">
        <v>7700</v>
      </c>
      <c r="H404" s="5">
        <v>0</v>
      </c>
      <c r="I404" s="5">
        <v>10000</v>
      </c>
    </row>
    <row r="405" spans="2:9" x14ac:dyDescent="0.3">
      <c r="B405" s="4" t="s">
        <v>31</v>
      </c>
      <c r="C405" s="5">
        <v>8876</v>
      </c>
      <c r="D405" s="5">
        <v>3108601</v>
      </c>
      <c r="E405" s="5">
        <v>9949</v>
      </c>
      <c r="F405" s="5">
        <v>3305649</v>
      </c>
      <c r="G405" s="5">
        <v>322388</v>
      </c>
      <c r="H405" s="5">
        <v>2000</v>
      </c>
      <c r="I405" s="5">
        <v>4600</v>
      </c>
    </row>
    <row r="406" spans="2:9" ht="15.6" x14ac:dyDescent="0.3">
      <c r="B406" s="18" t="s">
        <v>32</v>
      </c>
      <c r="C406" s="18"/>
      <c r="D406" s="7">
        <f>SUM(D392:D405)</f>
        <v>44642355</v>
      </c>
      <c r="E406" s="8"/>
      <c r="F406" s="7">
        <f>SUM(F392:F405)</f>
        <v>26141155</v>
      </c>
      <c r="G406" s="7">
        <f>SUM(G392:G405)</f>
        <v>7755015</v>
      </c>
      <c r="H406" s="6"/>
      <c r="I406" s="6"/>
    </row>
    <row r="408" spans="2:9" ht="15.6" x14ac:dyDescent="0.3">
      <c r="B408" s="17" t="s">
        <v>62</v>
      </c>
      <c r="C408" s="17"/>
      <c r="D408" s="17"/>
    </row>
    <row r="409" spans="2:9" x14ac:dyDescent="0.3">
      <c r="B409" s="4" t="s">
        <v>15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300</v>
      </c>
    </row>
    <row r="410" spans="2:9" x14ac:dyDescent="0.3">
      <c r="B410" s="4" t="s">
        <v>38</v>
      </c>
      <c r="C410" s="5">
        <v>80</v>
      </c>
      <c r="D410" s="5">
        <v>14955</v>
      </c>
      <c r="E410" s="5">
        <v>0</v>
      </c>
      <c r="F410" s="5">
        <v>0</v>
      </c>
      <c r="G410" s="5">
        <v>0</v>
      </c>
      <c r="H410" s="5">
        <v>1000</v>
      </c>
      <c r="I410" s="5">
        <v>0</v>
      </c>
    </row>
    <row r="411" spans="2:9" x14ac:dyDescent="0.3">
      <c r="B411" s="4" t="s">
        <v>17</v>
      </c>
      <c r="C411" s="5">
        <v>100</v>
      </c>
      <c r="D411" s="5">
        <v>25305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</row>
    <row r="412" spans="2:9" x14ac:dyDescent="0.3">
      <c r="B412" s="4" t="s">
        <v>18</v>
      </c>
      <c r="C412" s="5">
        <v>11360</v>
      </c>
      <c r="D412" s="5">
        <v>4520320</v>
      </c>
      <c r="E412" s="5">
        <v>1820</v>
      </c>
      <c r="F412" s="5">
        <v>719185</v>
      </c>
      <c r="G412" s="5">
        <v>46640</v>
      </c>
      <c r="H412" s="5">
        <v>10000</v>
      </c>
      <c r="I412" s="5">
        <v>1500</v>
      </c>
    </row>
    <row r="413" spans="2:9" x14ac:dyDescent="0.3">
      <c r="B413" s="4" t="s">
        <v>19</v>
      </c>
      <c r="C413" s="5">
        <v>0</v>
      </c>
      <c r="D413" s="5">
        <v>0</v>
      </c>
      <c r="E413" s="5">
        <v>300</v>
      </c>
      <c r="F413" s="5">
        <v>0</v>
      </c>
      <c r="G413" s="5">
        <v>17220</v>
      </c>
      <c r="H413" s="5">
        <v>0</v>
      </c>
      <c r="I413" s="5">
        <v>0</v>
      </c>
    </row>
    <row r="414" spans="2:9" x14ac:dyDescent="0.3">
      <c r="B414" s="4" t="s">
        <v>20</v>
      </c>
      <c r="C414" s="5">
        <v>11600</v>
      </c>
      <c r="D414" s="5">
        <v>166230</v>
      </c>
      <c r="E414" s="5">
        <v>27400</v>
      </c>
      <c r="F414" s="5">
        <v>457352</v>
      </c>
      <c r="G414" s="5">
        <v>10525</v>
      </c>
      <c r="H414" s="5">
        <v>10000</v>
      </c>
      <c r="I414" s="5">
        <v>19000</v>
      </c>
    </row>
    <row r="415" spans="2:9" x14ac:dyDescent="0.3">
      <c r="B415" s="4" t="s">
        <v>21</v>
      </c>
      <c r="C415" s="5">
        <v>116189</v>
      </c>
      <c r="D415" s="5">
        <v>44049559</v>
      </c>
      <c r="E415" s="5">
        <v>58313</v>
      </c>
      <c r="F415" s="5">
        <v>19054381</v>
      </c>
      <c r="G415" s="5">
        <v>3966738</v>
      </c>
      <c r="H415" s="5">
        <v>70000</v>
      </c>
      <c r="I415" s="5">
        <v>10000</v>
      </c>
    </row>
    <row r="416" spans="2:9" x14ac:dyDescent="0.3">
      <c r="B416" s="4" t="s">
        <v>22</v>
      </c>
      <c r="C416" s="5">
        <v>18125</v>
      </c>
      <c r="D416" s="5">
        <v>8047565</v>
      </c>
      <c r="E416" s="5">
        <v>3790</v>
      </c>
      <c r="F416" s="5">
        <v>1559170</v>
      </c>
      <c r="G416" s="5">
        <v>186800</v>
      </c>
      <c r="H416" s="5">
        <v>16500</v>
      </c>
      <c r="I416" s="5">
        <v>1000</v>
      </c>
    </row>
    <row r="417" spans="2:9" x14ac:dyDescent="0.3">
      <c r="B417" s="4" t="s">
        <v>23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5000000</v>
      </c>
      <c r="I417" s="5">
        <v>40794500</v>
      </c>
    </row>
    <row r="418" spans="2:9" x14ac:dyDescent="0.3">
      <c r="B418" s="4" t="s">
        <v>26</v>
      </c>
      <c r="C418" s="5">
        <v>180</v>
      </c>
      <c r="D418" s="5">
        <v>15478</v>
      </c>
      <c r="E418" s="5">
        <v>10260</v>
      </c>
      <c r="F418" s="5">
        <v>803695</v>
      </c>
      <c r="G418" s="5">
        <v>186170</v>
      </c>
      <c r="H418" s="5">
        <v>5000</v>
      </c>
      <c r="I418" s="5">
        <v>19000</v>
      </c>
    </row>
    <row r="419" spans="2:9" x14ac:dyDescent="0.3">
      <c r="B419" s="4" t="s">
        <v>27</v>
      </c>
      <c r="C419" s="5">
        <v>26277</v>
      </c>
      <c r="D419" s="5">
        <v>1925171</v>
      </c>
      <c r="E419" s="5">
        <v>29581</v>
      </c>
      <c r="F419" s="5">
        <v>2338917</v>
      </c>
      <c r="G419" s="5">
        <v>170910</v>
      </c>
      <c r="H419" s="5">
        <v>20000</v>
      </c>
      <c r="I419" s="5">
        <v>8700</v>
      </c>
    </row>
    <row r="420" spans="2:9" x14ac:dyDescent="0.3">
      <c r="B420" s="4" t="s">
        <v>34</v>
      </c>
      <c r="C420" s="5">
        <v>184630</v>
      </c>
      <c r="D420" s="5">
        <v>553892</v>
      </c>
      <c r="E420" s="5">
        <v>78020</v>
      </c>
      <c r="F420" s="5">
        <v>250945</v>
      </c>
      <c r="G420" s="5">
        <v>65045</v>
      </c>
      <c r="H420" s="5">
        <v>200000</v>
      </c>
      <c r="I420" s="5">
        <v>0</v>
      </c>
    </row>
    <row r="421" spans="2:9" x14ac:dyDescent="0.3">
      <c r="B421" s="4" t="s">
        <v>30</v>
      </c>
      <c r="C421" s="5">
        <v>0</v>
      </c>
      <c r="D421" s="5">
        <v>0</v>
      </c>
      <c r="E421" s="5">
        <v>3000</v>
      </c>
      <c r="F421" s="5">
        <v>0</v>
      </c>
      <c r="G421" s="5">
        <v>42000</v>
      </c>
      <c r="H421" s="5">
        <v>0</v>
      </c>
      <c r="I421" s="5">
        <v>0</v>
      </c>
    </row>
    <row r="422" spans="2:9" x14ac:dyDescent="0.3">
      <c r="B422" s="4" t="s">
        <v>31</v>
      </c>
      <c r="C422" s="5">
        <v>5638</v>
      </c>
      <c r="D422" s="5">
        <v>1976775</v>
      </c>
      <c r="E422" s="5">
        <v>13708</v>
      </c>
      <c r="F422" s="5">
        <v>3442585</v>
      </c>
      <c r="G422" s="5">
        <v>1582917</v>
      </c>
      <c r="H422" s="5">
        <v>2000</v>
      </c>
      <c r="I422" s="5">
        <v>11100</v>
      </c>
    </row>
    <row r="423" spans="2:9" ht="15.6" x14ac:dyDescent="0.3">
      <c r="B423" s="18" t="s">
        <v>32</v>
      </c>
      <c r="C423" s="18"/>
      <c r="D423" s="7">
        <f>SUM(D409:D422)</f>
        <v>61295250</v>
      </c>
      <c r="E423" s="8"/>
      <c r="F423" s="7">
        <f>SUM(F409:F422)</f>
        <v>28626230</v>
      </c>
      <c r="G423" s="7">
        <f>SUM(G409:G422)</f>
        <v>6274965</v>
      </c>
      <c r="H423" s="6"/>
      <c r="I423" s="6"/>
    </row>
    <row r="425" spans="2:9" ht="15.6" x14ac:dyDescent="0.3">
      <c r="B425" s="17" t="s">
        <v>63</v>
      </c>
      <c r="C425" s="17"/>
      <c r="D425" s="17"/>
    </row>
    <row r="426" spans="2:9" x14ac:dyDescent="0.3">
      <c r="B426" s="4" t="s">
        <v>15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300</v>
      </c>
    </row>
    <row r="427" spans="2:9" x14ac:dyDescent="0.3">
      <c r="B427" s="4" t="s">
        <v>38</v>
      </c>
      <c r="C427" s="5">
        <v>205</v>
      </c>
      <c r="D427" s="5">
        <v>38374</v>
      </c>
      <c r="E427" s="5">
        <v>0</v>
      </c>
      <c r="F427" s="5">
        <v>0</v>
      </c>
      <c r="G427" s="5">
        <v>0</v>
      </c>
      <c r="H427" s="5">
        <v>1000</v>
      </c>
      <c r="I427" s="5">
        <v>0</v>
      </c>
    </row>
    <row r="428" spans="2:9" x14ac:dyDescent="0.3">
      <c r="B428" s="4" t="s">
        <v>17</v>
      </c>
      <c r="C428" s="5">
        <v>0</v>
      </c>
      <c r="D428" s="5">
        <v>0</v>
      </c>
      <c r="E428" s="5">
        <v>1040</v>
      </c>
      <c r="F428" s="5">
        <v>216240</v>
      </c>
      <c r="G428" s="5">
        <v>65475</v>
      </c>
      <c r="H428" s="5">
        <v>0</v>
      </c>
      <c r="I428" s="5">
        <v>1000</v>
      </c>
    </row>
    <row r="429" spans="2:9" x14ac:dyDescent="0.3">
      <c r="B429" s="4" t="s">
        <v>18</v>
      </c>
      <c r="C429" s="5">
        <v>5500</v>
      </c>
      <c r="D429" s="5">
        <v>2201411</v>
      </c>
      <c r="E429" s="5">
        <v>930</v>
      </c>
      <c r="F429" s="5">
        <v>388645</v>
      </c>
      <c r="G429" s="5">
        <v>0</v>
      </c>
      <c r="H429" s="5">
        <v>4500</v>
      </c>
      <c r="I429" s="5">
        <v>0</v>
      </c>
    </row>
    <row r="430" spans="2:9" x14ac:dyDescent="0.3">
      <c r="B430" s="4" t="s">
        <v>19</v>
      </c>
      <c r="C430" s="5">
        <v>3000</v>
      </c>
      <c r="D430" s="5">
        <v>120840</v>
      </c>
      <c r="E430" s="5">
        <v>0</v>
      </c>
      <c r="F430" s="5">
        <v>0</v>
      </c>
      <c r="G430" s="5">
        <v>0</v>
      </c>
      <c r="H430" s="5">
        <v>3000</v>
      </c>
      <c r="I430" s="5">
        <v>0</v>
      </c>
    </row>
    <row r="431" spans="2:9" x14ac:dyDescent="0.3">
      <c r="B431" s="4" t="s">
        <v>20</v>
      </c>
      <c r="C431" s="5">
        <v>500</v>
      </c>
      <c r="D431" s="5">
        <v>6730</v>
      </c>
      <c r="E431" s="5">
        <v>2000</v>
      </c>
      <c r="F431" s="5">
        <v>34840</v>
      </c>
      <c r="G431" s="5">
        <v>0</v>
      </c>
      <c r="H431" s="5">
        <v>0</v>
      </c>
      <c r="I431" s="5">
        <v>0</v>
      </c>
    </row>
    <row r="432" spans="2:9" x14ac:dyDescent="0.3">
      <c r="B432" s="4" t="s">
        <v>21</v>
      </c>
      <c r="C432" s="5">
        <v>61676</v>
      </c>
      <c r="D432" s="5">
        <v>23349509</v>
      </c>
      <c r="E432" s="5">
        <v>24312</v>
      </c>
      <c r="F432" s="5">
        <v>7883972</v>
      </c>
      <c r="G432" s="5">
        <v>1705765</v>
      </c>
      <c r="H432" s="5">
        <v>34000</v>
      </c>
      <c r="I432" s="5">
        <v>3000</v>
      </c>
    </row>
    <row r="433" spans="2:9" x14ac:dyDescent="0.3">
      <c r="B433" s="4" t="s">
        <v>22</v>
      </c>
      <c r="C433" s="5">
        <v>1390</v>
      </c>
      <c r="D433" s="5">
        <v>613470</v>
      </c>
      <c r="E433" s="5">
        <v>1990</v>
      </c>
      <c r="F433" s="5">
        <v>892730</v>
      </c>
      <c r="G433" s="5">
        <v>27805</v>
      </c>
      <c r="H433" s="5">
        <v>1000</v>
      </c>
      <c r="I433" s="5">
        <v>1000</v>
      </c>
    </row>
    <row r="434" spans="2:9" x14ac:dyDescent="0.3">
      <c r="B434" s="4" t="s">
        <v>23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14472250</v>
      </c>
    </row>
    <row r="435" spans="2:9" x14ac:dyDescent="0.3">
      <c r="B435" s="4" t="s">
        <v>26</v>
      </c>
      <c r="C435" s="5">
        <v>1330</v>
      </c>
      <c r="D435" s="5">
        <v>113751</v>
      </c>
      <c r="E435" s="5">
        <v>3800</v>
      </c>
      <c r="F435" s="5">
        <v>347270</v>
      </c>
      <c r="G435" s="5">
        <v>18240</v>
      </c>
      <c r="H435" s="5">
        <v>0</v>
      </c>
      <c r="I435" s="5">
        <v>5000</v>
      </c>
    </row>
    <row r="436" spans="2:9" x14ac:dyDescent="0.3">
      <c r="B436" s="4" t="s">
        <v>27</v>
      </c>
      <c r="C436" s="5">
        <v>13971</v>
      </c>
      <c r="D436" s="5">
        <v>1032170</v>
      </c>
      <c r="E436" s="5">
        <v>25634</v>
      </c>
      <c r="F436" s="5">
        <v>1919748</v>
      </c>
      <c r="G436" s="5">
        <v>250900</v>
      </c>
      <c r="H436" s="5">
        <v>0</v>
      </c>
      <c r="I436" s="5">
        <v>10000</v>
      </c>
    </row>
    <row r="437" spans="2:9" x14ac:dyDescent="0.3">
      <c r="B437" s="4" t="s">
        <v>34</v>
      </c>
      <c r="C437" s="5">
        <v>4300</v>
      </c>
      <c r="D437" s="5">
        <v>12900</v>
      </c>
      <c r="E437" s="5">
        <v>72450</v>
      </c>
      <c r="F437" s="5">
        <v>293425</v>
      </c>
      <c r="G437" s="5">
        <v>0</v>
      </c>
      <c r="H437" s="5">
        <v>0</v>
      </c>
      <c r="I437" s="5">
        <v>0</v>
      </c>
    </row>
    <row r="438" spans="2:9" x14ac:dyDescent="0.3">
      <c r="B438" s="4" t="s">
        <v>30</v>
      </c>
      <c r="C438" s="5">
        <v>7300</v>
      </c>
      <c r="D438" s="5">
        <v>72270</v>
      </c>
      <c r="E438" s="5">
        <v>2300</v>
      </c>
      <c r="F438" s="5">
        <v>33600</v>
      </c>
      <c r="G438" s="5">
        <v>0</v>
      </c>
      <c r="H438" s="5">
        <v>0</v>
      </c>
      <c r="I438" s="5">
        <v>0</v>
      </c>
    </row>
    <row r="439" spans="2:9" x14ac:dyDescent="0.3">
      <c r="B439" s="4" t="s">
        <v>31</v>
      </c>
      <c r="C439" s="5">
        <v>3770</v>
      </c>
      <c r="D439" s="5">
        <v>1329320</v>
      </c>
      <c r="E439" s="5">
        <v>4170</v>
      </c>
      <c r="F439" s="5">
        <v>1162765</v>
      </c>
      <c r="G439" s="5">
        <v>374930</v>
      </c>
      <c r="H439" s="5">
        <v>1200</v>
      </c>
      <c r="I439" s="5">
        <v>2000</v>
      </c>
    </row>
    <row r="440" spans="2:9" ht="15.6" x14ac:dyDescent="0.3">
      <c r="B440" s="18" t="s">
        <v>32</v>
      </c>
      <c r="C440" s="18"/>
      <c r="D440" s="7">
        <f>SUM(D426:D439)</f>
        <v>28890745</v>
      </c>
      <c r="E440" s="8"/>
      <c r="F440" s="7">
        <f>SUM(F426:F439)</f>
        <v>13173235</v>
      </c>
      <c r="G440" s="7">
        <f>SUM(G426:G439)</f>
        <v>2443115</v>
      </c>
      <c r="H440" s="6"/>
      <c r="I440" s="6"/>
    </row>
    <row r="442" spans="2:9" ht="15.6" x14ac:dyDescent="0.3">
      <c r="B442" s="17" t="s">
        <v>64</v>
      </c>
      <c r="C442" s="17"/>
      <c r="D442" s="17"/>
    </row>
    <row r="443" spans="2:9" x14ac:dyDescent="0.3">
      <c r="B443" s="4" t="s">
        <v>15</v>
      </c>
      <c r="C443" s="5">
        <v>0</v>
      </c>
      <c r="D443" s="5">
        <v>0</v>
      </c>
      <c r="E443" s="5">
        <v>150</v>
      </c>
      <c r="F443" s="5">
        <v>36119</v>
      </c>
      <c r="G443" s="5">
        <v>0</v>
      </c>
      <c r="H443" s="5">
        <v>0</v>
      </c>
      <c r="I443" s="5">
        <v>0</v>
      </c>
    </row>
    <row r="444" spans="2:9" x14ac:dyDescent="0.3">
      <c r="B444" s="4" t="s">
        <v>38</v>
      </c>
      <c r="C444" s="5">
        <v>0</v>
      </c>
      <c r="D444" s="5">
        <v>0</v>
      </c>
      <c r="E444" s="5">
        <v>250</v>
      </c>
      <c r="F444" s="5">
        <v>0</v>
      </c>
      <c r="G444" s="5">
        <v>51970</v>
      </c>
      <c r="H444" s="5">
        <v>0</v>
      </c>
      <c r="I444" s="5">
        <v>0</v>
      </c>
    </row>
    <row r="445" spans="2:9" x14ac:dyDescent="0.3">
      <c r="B445" s="4" t="s">
        <v>17</v>
      </c>
      <c r="C445" s="5">
        <v>900</v>
      </c>
      <c r="D445" s="5">
        <v>232425</v>
      </c>
      <c r="E445" s="5">
        <v>0</v>
      </c>
      <c r="F445" s="5">
        <v>0</v>
      </c>
      <c r="G445" s="5">
        <v>0</v>
      </c>
      <c r="H445" s="5">
        <v>1000</v>
      </c>
      <c r="I445" s="5">
        <v>400</v>
      </c>
    </row>
    <row r="446" spans="2:9" x14ac:dyDescent="0.3">
      <c r="B446" s="4" t="s">
        <v>18</v>
      </c>
      <c r="C446" s="5">
        <v>29330</v>
      </c>
      <c r="D446" s="5">
        <v>11871534</v>
      </c>
      <c r="E446" s="5">
        <v>3290</v>
      </c>
      <c r="F446" s="5">
        <v>37105</v>
      </c>
      <c r="G446" s="5">
        <v>1319008</v>
      </c>
      <c r="H446" s="5">
        <v>27000</v>
      </c>
      <c r="I446" s="5">
        <v>1000</v>
      </c>
    </row>
    <row r="447" spans="2:9" x14ac:dyDescent="0.3">
      <c r="B447" s="4" t="s">
        <v>19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179</v>
      </c>
      <c r="I447" s="5">
        <v>0</v>
      </c>
    </row>
    <row r="448" spans="2:9" x14ac:dyDescent="0.3">
      <c r="B448" s="4" t="s">
        <v>20</v>
      </c>
      <c r="C448" s="5">
        <v>4900</v>
      </c>
      <c r="D448" s="5">
        <v>71130</v>
      </c>
      <c r="E448" s="5">
        <v>30500</v>
      </c>
      <c r="F448" s="5">
        <v>288105</v>
      </c>
      <c r="G448" s="5">
        <v>210730</v>
      </c>
      <c r="H448" s="5">
        <v>0</v>
      </c>
      <c r="I448" s="5">
        <v>30000</v>
      </c>
    </row>
    <row r="449" spans="2:9" x14ac:dyDescent="0.3">
      <c r="B449" s="4" t="s">
        <v>21</v>
      </c>
      <c r="C449" s="5">
        <v>370525</v>
      </c>
      <c r="D449" s="5">
        <v>141930091</v>
      </c>
      <c r="E449" s="5">
        <v>134536</v>
      </c>
      <c r="F449" s="5">
        <v>35820397</v>
      </c>
      <c r="G449" s="5">
        <v>16646574</v>
      </c>
      <c r="H449" s="5">
        <v>255100</v>
      </c>
      <c r="I449" s="5">
        <v>9500</v>
      </c>
    </row>
    <row r="450" spans="2:9" x14ac:dyDescent="0.3">
      <c r="B450" s="4" t="s">
        <v>22</v>
      </c>
      <c r="C450" s="5">
        <v>5050</v>
      </c>
      <c r="D450" s="5">
        <v>2253901</v>
      </c>
      <c r="E450" s="5">
        <v>6735</v>
      </c>
      <c r="F450" s="5">
        <v>1808729</v>
      </c>
      <c r="G450" s="5">
        <v>1273180</v>
      </c>
      <c r="H450" s="5">
        <v>6000</v>
      </c>
      <c r="I450" s="5">
        <v>7000</v>
      </c>
    </row>
    <row r="451" spans="2:9" x14ac:dyDescent="0.3">
      <c r="B451" s="4" t="s">
        <v>23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29950</v>
      </c>
      <c r="I451" s="5">
        <v>118305500</v>
      </c>
    </row>
    <row r="452" spans="2:9" x14ac:dyDescent="0.3">
      <c r="B452" s="4" t="s">
        <v>36</v>
      </c>
      <c r="C452" s="5">
        <v>50</v>
      </c>
      <c r="D452" s="5">
        <v>4400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</row>
    <row r="453" spans="2:9" x14ac:dyDescent="0.3">
      <c r="B453" s="4" t="s">
        <v>24</v>
      </c>
      <c r="C453" s="5">
        <v>0</v>
      </c>
      <c r="D453" s="5">
        <v>0</v>
      </c>
      <c r="E453" s="5">
        <v>263000</v>
      </c>
      <c r="F453" s="5">
        <v>352500</v>
      </c>
      <c r="G453" s="5">
        <v>305000</v>
      </c>
      <c r="H453" s="5">
        <v>0</v>
      </c>
      <c r="I453" s="5">
        <v>350000</v>
      </c>
    </row>
    <row r="454" spans="2:9" x14ac:dyDescent="0.3">
      <c r="B454" s="4" t="s">
        <v>25</v>
      </c>
      <c r="C454" s="5">
        <v>0</v>
      </c>
      <c r="D454" s="5">
        <v>0</v>
      </c>
      <c r="E454" s="5">
        <v>75</v>
      </c>
      <c r="F454" s="5">
        <v>17251</v>
      </c>
      <c r="G454" s="5">
        <v>0</v>
      </c>
      <c r="H454" s="5">
        <v>0</v>
      </c>
      <c r="I454" s="5">
        <v>0</v>
      </c>
    </row>
    <row r="455" spans="2:9" x14ac:dyDescent="0.3">
      <c r="B455" s="4" t="s">
        <v>26</v>
      </c>
      <c r="C455" s="5">
        <v>3260</v>
      </c>
      <c r="D455" s="5">
        <v>274572</v>
      </c>
      <c r="E455" s="5">
        <v>48190</v>
      </c>
      <c r="F455" s="5">
        <v>3773946</v>
      </c>
      <c r="G455" s="5">
        <v>769930</v>
      </c>
      <c r="H455" s="5">
        <v>0</v>
      </c>
      <c r="I455" s="5">
        <v>43000</v>
      </c>
    </row>
    <row r="456" spans="2:9" x14ac:dyDescent="0.3">
      <c r="B456" s="4" t="s">
        <v>27</v>
      </c>
      <c r="C456" s="5">
        <v>6677</v>
      </c>
      <c r="D456" s="5">
        <v>490274</v>
      </c>
      <c r="E456" s="5">
        <v>14728</v>
      </c>
      <c r="F456" s="5">
        <v>983606</v>
      </c>
      <c r="G456" s="5">
        <v>224718</v>
      </c>
      <c r="H456" s="5">
        <v>0</v>
      </c>
      <c r="I456" s="5">
        <v>5200</v>
      </c>
    </row>
    <row r="457" spans="2:9" x14ac:dyDescent="0.3">
      <c r="B457" s="4" t="s">
        <v>34</v>
      </c>
      <c r="C457" s="5">
        <v>16430</v>
      </c>
      <c r="D457" s="5">
        <v>49290</v>
      </c>
      <c r="E457" s="5">
        <v>42050</v>
      </c>
      <c r="F457" s="5">
        <v>59940</v>
      </c>
      <c r="G457" s="5">
        <v>110365</v>
      </c>
      <c r="H457" s="5">
        <v>100000</v>
      </c>
      <c r="I457" s="5">
        <v>100000</v>
      </c>
    </row>
    <row r="458" spans="2:9" x14ac:dyDescent="0.3">
      <c r="B458" s="4" t="s">
        <v>28</v>
      </c>
      <c r="C458" s="5">
        <v>0</v>
      </c>
      <c r="D458" s="5">
        <v>0</v>
      </c>
      <c r="E458" s="5">
        <v>1100</v>
      </c>
      <c r="F458" s="5">
        <v>500</v>
      </c>
      <c r="G458" s="5">
        <v>5000</v>
      </c>
      <c r="H458" s="5">
        <v>20000</v>
      </c>
      <c r="I458" s="5">
        <v>0</v>
      </c>
    </row>
    <row r="459" spans="2:9" x14ac:dyDescent="0.3">
      <c r="B459" s="4" t="s">
        <v>29</v>
      </c>
      <c r="C459" s="5">
        <v>0</v>
      </c>
      <c r="D459" s="5">
        <v>0</v>
      </c>
      <c r="E459" s="5">
        <v>60500</v>
      </c>
      <c r="F459" s="5">
        <v>837765</v>
      </c>
      <c r="G459" s="5">
        <v>0</v>
      </c>
      <c r="H459" s="5">
        <v>0</v>
      </c>
      <c r="I459" s="5">
        <v>100000</v>
      </c>
    </row>
    <row r="460" spans="2:9" x14ac:dyDescent="0.3">
      <c r="B460" s="4" t="s">
        <v>30</v>
      </c>
      <c r="C460" s="5">
        <v>3350</v>
      </c>
      <c r="D460" s="5">
        <v>36116</v>
      </c>
      <c r="E460" s="5">
        <v>33750</v>
      </c>
      <c r="F460" s="5">
        <v>485775</v>
      </c>
      <c r="G460" s="5">
        <v>14000</v>
      </c>
      <c r="H460" s="5">
        <v>0</v>
      </c>
      <c r="I460" s="5">
        <v>20000</v>
      </c>
    </row>
    <row r="461" spans="2:9" x14ac:dyDescent="0.3">
      <c r="B461" s="4" t="s">
        <v>31</v>
      </c>
      <c r="C461" s="5">
        <v>25536</v>
      </c>
      <c r="D461" s="5">
        <v>9056432</v>
      </c>
      <c r="E461" s="5">
        <v>40800</v>
      </c>
      <c r="F461" s="5">
        <v>10938242</v>
      </c>
      <c r="G461" s="5">
        <v>3853605</v>
      </c>
      <c r="H461" s="5">
        <v>10000</v>
      </c>
      <c r="I461" s="5">
        <v>23720</v>
      </c>
    </row>
    <row r="462" spans="2:9" ht="15.6" x14ac:dyDescent="0.3">
      <c r="B462" s="18" t="s">
        <v>32</v>
      </c>
      <c r="C462" s="18"/>
      <c r="D462" s="7">
        <f>SUM(D443:D461)</f>
        <v>166270165</v>
      </c>
      <c r="E462" s="8"/>
      <c r="F462" s="7">
        <f>SUM(F443:F461)</f>
        <v>55439980</v>
      </c>
      <c r="G462" s="7">
        <f>SUM(G443:G461)</f>
        <v>24784080</v>
      </c>
      <c r="H462" s="6"/>
      <c r="I462" s="6"/>
    </row>
    <row r="464" spans="2:9" ht="15.6" x14ac:dyDescent="0.3">
      <c r="B464" s="17" t="s">
        <v>65</v>
      </c>
      <c r="C464" s="17"/>
      <c r="D464" s="17"/>
    </row>
    <row r="465" spans="2:9" x14ac:dyDescent="0.3">
      <c r="B465" s="4" t="s">
        <v>15</v>
      </c>
      <c r="C465" s="5">
        <v>0</v>
      </c>
      <c r="D465" s="5">
        <v>0</v>
      </c>
      <c r="E465" s="5">
        <v>200</v>
      </c>
      <c r="F465" s="5">
        <v>47586</v>
      </c>
      <c r="G465" s="5">
        <v>0</v>
      </c>
      <c r="H465" s="5">
        <v>0</v>
      </c>
      <c r="I465" s="5">
        <v>0</v>
      </c>
    </row>
    <row r="466" spans="2:9" x14ac:dyDescent="0.3">
      <c r="B466" s="4" t="s">
        <v>38</v>
      </c>
      <c r="C466" s="5">
        <v>20</v>
      </c>
      <c r="D466" s="5">
        <v>3750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</row>
    <row r="467" spans="2:9" x14ac:dyDescent="0.3">
      <c r="B467" s="4" t="s">
        <v>17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300</v>
      </c>
      <c r="I467" s="5">
        <v>300</v>
      </c>
    </row>
    <row r="468" spans="2:9" x14ac:dyDescent="0.3">
      <c r="B468" s="4" t="s">
        <v>18</v>
      </c>
      <c r="C468" s="5">
        <v>7400</v>
      </c>
      <c r="D468" s="5">
        <v>2953990</v>
      </c>
      <c r="E468" s="5">
        <v>2900</v>
      </c>
      <c r="F468" s="5">
        <v>1080150</v>
      </c>
      <c r="G468" s="5">
        <v>125920</v>
      </c>
      <c r="H468" s="5">
        <v>8000</v>
      </c>
      <c r="I468" s="5">
        <v>3000</v>
      </c>
    </row>
    <row r="469" spans="2:9" x14ac:dyDescent="0.3">
      <c r="B469" s="4" t="s">
        <v>20</v>
      </c>
      <c r="C469" s="5">
        <v>14000</v>
      </c>
      <c r="D469" s="5">
        <v>189560</v>
      </c>
      <c r="E469" s="5">
        <v>36400</v>
      </c>
      <c r="F469" s="5">
        <v>322510</v>
      </c>
      <c r="G469" s="5">
        <v>312030</v>
      </c>
      <c r="H469" s="5">
        <v>0</v>
      </c>
      <c r="I469" s="5">
        <v>30000</v>
      </c>
    </row>
    <row r="470" spans="2:9" x14ac:dyDescent="0.3">
      <c r="B470" s="4" t="s">
        <v>21</v>
      </c>
      <c r="C470" s="5">
        <v>99182</v>
      </c>
      <c r="D470" s="5">
        <v>37535600</v>
      </c>
      <c r="E470" s="5">
        <v>54994</v>
      </c>
      <c r="F470" s="5">
        <v>16562102</v>
      </c>
      <c r="G470" s="5">
        <v>5125502</v>
      </c>
      <c r="H470" s="5">
        <v>50000</v>
      </c>
      <c r="I470" s="5">
        <v>5600</v>
      </c>
    </row>
    <row r="471" spans="2:9" x14ac:dyDescent="0.3">
      <c r="B471" s="4" t="s">
        <v>22</v>
      </c>
      <c r="C471" s="5">
        <v>1030</v>
      </c>
      <c r="D471" s="5">
        <v>453491</v>
      </c>
      <c r="E471" s="5">
        <v>3320</v>
      </c>
      <c r="F471" s="5">
        <v>1538040</v>
      </c>
      <c r="G471" s="5">
        <v>0</v>
      </c>
      <c r="H471" s="5">
        <v>3000</v>
      </c>
      <c r="I471" s="5">
        <v>3800</v>
      </c>
    </row>
    <row r="472" spans="2:9" x14ac:dyDescent="0.3">
      <c r="B472" s="4" t="s">
        <v>23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7000000</v>
      </c>
      <c r="I472" s="5">
        <v>24379500</v>
      </c>
    </row>
    <row r="473" spans="2:9" x14ac:dyDescent="0.3">
      <c r="B473" s="4" t="s">
        <v>26</v>
      </c>
      <c r="C473" s="5">
        <v>2280</v>
      </c>
      <c r="D473" s="5">
        <v>194580</v>
      </c>
      <c r="E473" s="5">
        <v>12780</v>
      </c>
      <c r="F473" s="5">
        <v>1016497</v>
      </c>
      <c r="G473" s="5">
        <v>215933</v>
      </c>
      <c r="H473" s="5">
        <v>0</v>
      </c>
      <c r="I473" s="5">
        <v>18000</v>
      </c>
    </row>
    <row r="474" spans="2:9" x14ac:dyDescent="0.3">
      <c r="B474" s="4" t="s">
        <v>27</v>
      </c>
      <c r="C474" s="5">
        <v>5043</v>
      </c>
      <c r="D474" s="5">
        <v>371575</v>
      </c>
      <c r="E474" s="5">
        <v>7713</v>
      </c>
      <c r="F474" s="5">
        <v>641375</v>
      </c>
      <c r="G474" s="5">
        <v>12750</v>
      </c>
      <c r="H474" s="5">
        <v>0</v>
      </c>
      <c r="I474" s="5">
        <v>0</v>
      </c>
    </row>
    <row r="475" spans="2:9" x14ac:dyDescent="0.3">
      <c r="B475" s="4" t="s">
        <v>34</v>
      </c>
      <c r="C475" s="5">
        <v>20</v>
      </c>
      <c r="D475" s="5">
        <v>60</v>
      </c>
      <c r="E475" s="5">
        <v>31050</v>
      </c>
      <c r="F475" s="5">
        <v>100035</v>
      </c>
      <c r="G475" s="5">
        <v>25720</v>
      </c>
      <c r="H475" s="5">
        <v>0</v>
      </c>
      <c r="I475" s="5">
        <v>40000</v>
      </c>
    </row>
    <row r="476" spans="2:9" x14ac:dyDescent="0.3">
      <c r="B476" s="4" t="s">
        <v>31</v>
      </c>
      <c r="C476" s="5">
        <v>6201</v>
      </c>
      <c r="D476" s="5">
        <v>2166559</v>
      </c>
      <c r="E476" s="5">
        <v>18540</v>
      </c>
      <c r="F476" s="5">
        <v>6550090</v>
      </c>
      <c r="G476" s="5">
        <v>283410</v>
      </c>
      <c r="H476" s="5">
        <v>2000</v>
      </c>
      <c r="I476" s="5">
        <v>15500</v>
      </c>
    </row>
    <row r="477" spans="2:9" ht="15.6" x14ac:dyDescent="0.3">
      <c r="B477" s="18" t="s">
        <v>32</v>
      </c>
      <c r="C477" s="18"/>
      <c r="D477" s="7">
        <f>SUM(D465:D476)</f>
        <v>43869165</v>
      </c>
      <c r="E477" s="8"/>
      <c r="F477" s="7">
        <f>SUM(F465:F476)</f>
        <v>27858385</v>
      </c>
      <c r="G477" s="7">
        <f>SUM(G465:G476)</f>
        <v>6101265</v>
      </c>
      <c r="H477" s="6"/>
      <c r="I477" s="6"/>
    </row>
    <row r="479" spans="2:9" ht="15.6" x14ac:dyDescent="0.3">
      <c r="B479" s="17" t="s">
        <v>66</v>
      </c>
      <c r="C479" s="17"/>
      <c r="D479" s="17"/>
    </row>
    <row r="480" spans="2:9" x14ac:dyDescent="0.3">
      <c r="B480" s="4" t="s">
        <v>15</v>
      </c>
      <c r="C480" s="5">
        <v>200</v>
      </c>
      <c r="D480" s="5">
        <v>44590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</row>
    <row r="481" spans="2:9" x14ac:dyDescent="0.3">
      <c r="B481" s="4" t="s">
        <v>17</v>
      </c>
      <c r="C481" s="5">
        <v>0</v>
      </c>
      <c r="D481" s="5">
        <v>0</v>
      </c>
      <c r="E481" s="5">
        <v>500</v>
      </c>
      <c r="F481" s="5">
        <v>135520</v>
      </c>
      <c r="G481" s="5">
        <v>0</v>
      </c>
      <c r="H481" s="5">
        <v>0</v>
      </c>
      <c r="I481" s="5">
        <v>500</v>
      </c>
    </row>
    <row r="482" spans="2:9" x14ac:dyDescent="0.3">
      <c r="B482" s="4" t="s">
        <v>18</v>
      </c>
      <c r="C482" s="5">
        <v>6630</v>
      </c>
      <c r="D482" s="5">
        <v>2646620</v>
      </c>
      <c r="E482" s="5">
        <v>11320</v>
      </c>
      <c r="F482" s="5">
        <v>1778770</v>
      </c>
      <c r="G482" s="5">
        <v>2986590</v>
      </c>
      <c r="H482" s="5">
        <v>5000</v>
      </c>
      <c r="I482" s="5">
        <v>8000</v>
      </c>
    </row>
    <row r="483" spans="2:9" x14ac:dyDescent="0.3">
      <c r="B483" s="4" t="s">
        <v>20</v>
      </c>
      <c r="C483" s="5">
        <v>19000</v>
      </c>
      <c r="D483" s="5">
        <v>262200</v>
      </c>
      <c r="E483" s="5">
        <v>9400</v>
      </c>
      <c r="F483" s="5">
        <v>164670</v>
      </c>
      <c r="G483" s="5">
        <v>0</v>
      </c>
      <c r="H483" s="5">
        <v>19000</v>
      </c>
      <c r="I483" s="5">
        <v>0</v>
      </c>
    </row>
    <row r="484" spans="2:9" x14ac:dyDescent="0.3">
      <c r="B484" s="4" t="s">
        <v>21</v>
      </c>
      <c r="C484" s="5">
        <v>61539</v>
      </c>
      <c r="D484" s="5">
        <v>23267155</v>
      </c>
      <c r="E484" s="5">
        <v>44203</v>
      </c>
      <c r="F484" s="5">
        <v>15604932</v>
      </c>
      <c r="G484" s="5">
        <v>1856520</v>
      </c>
      <c r="H484" s="5">
        <v>25300</v>
      </c>
      <c r="I484" s="5">
        <v>11000</v>
      </c>
    </row>
    <row r="485" spans="2:9" x14ac:dyDescent="0.3">
      <c r="B485" s="4" t="s">
        <v>22</v>
      </c>
      <c r="C485" s="5">
        <v>1540</v>
      </c>
      <c r="D485" s="5">
        <v>679590</v>
      </c>
      <c r="E485" s="5">
        <v>1930</v>
      </c>
      <c r="F485" s="5">
        <v>779520</v>
      </c>
      <c r="G485" s="5">
        <v>116000</v>
      </c>
      <c r="H485" s="5">
        <v>0</v>
      </c>
      <c r="I485" s="5">
        <v>0</v>
      </c>
    </row>
    <row r="486" spans="2:9" x14ac:dyDescent="0.3">
      <c r="B486" s="4" t="s">
        <v>23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11000000</v>
      </c>
      <c r="I486" s="5">
        <v>13265750</v>
      </c>
    </row>
    <row r="487" spans="2:9" x14ac:dyDescent="0.3">
      <c r="B487" s="4" t="s">
        <v>26</v>
      </c>
      <c r="C487" s="5">
        <v>70</v>
      </c>
      <c r="D487" s="5">
        <v>5965</v>
      </c>
      <c r="E487" s="5">
        <v>700</v>
      </c>
      <c r="F487" s="5">
        <v>68390</v>
      </c>
      <c r="G487" s="5">
        <v>0</v>
      </c>
      <c r="H487" s="5">
        <v>0</v>
      </c>
      <c r="I487" s="5">
        <v>0</v>
      </c>
    </row>
    <row r="488" spans="2:9" x14ac:dyDescent="0.3">
      <c r="B488" s="4" t="s">
        <v>27</v>
      </c>
      <c r="C488" s="5">
        <v>25245</v>
      </c>
      <c r="D488" s="5">
        <v>1890511</v>
      </c>
      <c r="E488" s="5">
        <v>10370</v>
      </c>
      <c r="F488" s="5">
        <v>876380</v>
      </c>
      <c r="G488" s="5">
        <v>0</v>
      </c>
      <c r="H488" s="5">
        <v>10000</v>
      </c>
      <c r="I488" s="5">
        <v>0</v>
      </c>
    </row>
    <row r="489" spans="2:9" x14ac:dyDescent="0.3">
      <c r="B489" s="4" t="s">
        <v>34</v>
      </c>
      <c r="C489" s="5">
        <v>3200</v>
      </c>
      <c r="D489" s="5">
        <v>9646</v>
      </c>
      <c r="E489" s="5">
        <v>35850</v>
      </c>
      <c r="F489" s="5">
        <v>145193</v>
      </c>
      <c r="G489" s="5">
        <v>0</v>
      </c>
      <c r="H489" s="5">
        <v>0</v>
      </c>
      <c r="I489" s="5">
        <v>0</v>
      </c>
    </row>
    <row r="490" spans="2:9" x14ac:dyDescent="0.3">
      <c r="B490" s="4" t="s">
        <v>28</v>
      </c>
      <c r="C490" s="5">
        <v>0</v>
      </c>
      <c r="D490" s="5">
        <v>0</v>
      </c>
      <c r="E490" s="5">
        <v>10000</v>
      </c>
      <c r="F490" s="5">
        <v>0</v>
      </c>
      <c r="G490" s="5">
        <v>50000</v>
      </c>
      <c r="H490" s="5">
        <v>0</v>
      </c>
      <c r="I490" s="5">
        <v>20000</v>
      </c>
    </row>
    <row r="491" spans="2:9" x14ac:dyDescent="0.3">
      <c r="B491" s="4" t="s">
        <v>31</v>
      </c>
      <c r="C491" s="5">
        <v>1075</v>
      </c>
      <c r="D491" s="5">
        <v>377688</v>
      </c>
      <c r="E491" s="5">
        <v>8847</v>
      </c>
      <c r="F491" s="5">
        <v>2723330</v>
      </c>
      <c r="G491" s="5">
        <v>561020</v>
      </c>
      <c r="H491" s="5">
        <v>400</v>
      </c>
      <c r="I491" s="5">
        <v>9100</v>
      </c>
    </row>
    <row r="492" spans="2:9" ht="15.6" x14ac:dyDescent="0.3">
      <c r="B492" s="18" t="s">
        <v>32</v>
      </c>
      <c r="C492" s="18"/>
      <c r="D492" s="7">
        <f>SUM(D480:D491)</f>
        <v>29183965</v>
      </c>
      <c r="E492" s="8"/>
      <c r="F492" s="7">
        <f>SUM(F480:F491)</f>
        <v>22276705</v>
      </c>
      <c r="G492" s="7">
        <f>SUM(G480:G491)</f>
        <v>5570130</v>
      </c>
      <c r="H492" s="6"/>
      <c r="I492" s="6"/>
    </row>
    <row r="494" spans="2:9" ht="17.399999999999999" x14ac:dyDescent="0.3">
      <c r="B494" s="22" t="s">
        <v>67</v>
      </c>
      <c r="C494" s="22"/>
      <c r="D494" s="22"/>
      <c r="E494" s="22"/>
      <c r="F494" s="22"/>
      <c r="G494" s="22"/>
      <c r="H494" s="22"/>
      <c r="I494" s="22"/>
    </row>
    <row r="495" spans="2:9" ht="15.6" x14ac:dyDescent="0.3">
      <c r="B495" s="17" t="s">
        <v>68</v>
      </c>
      <c r="C495" s="17"/>
      <c r="D495" s="17"/>
    </row>
    <row r="496" spans="2:9" x14ac:dyDescent="0.3">
      <c r="B496" s="4" t="s">
        <v>15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1600</v>
      </c>
      <c r="I496" s="5">
        <v>1900</v>
      </c>
    </row>
    <row r="497" spans="2:9" x14ac:dyDescent="0.3">
      <c r="B497" s="4" t="s">
        <v>38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500</v>
      </c>
      <c r="I497" s="5">
        <v>500</v>
      </c>
    </row>
    <row r="498" spans="2:9" x14ac:dyDescent="0.3">
      <c r="B498" s="4" t="s">
        <v>17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4600</v>
      </c>
      <c r="I498" s="5">
        <v>4300</v>
      </c>
    </row>
    <row r="499" spans="2:9" x14ac:dyDescent="0.3">
      <c r="B499" s="4" t="s">
        <v>18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108000</v>
      </c>
      <c r="I499" s="5">
        <v>101000</v>
      </c>
    </row>
    <row r="500" spans="2:9" x14ac:dyDescent="0.3">
      <c r="B500" s="4" t="s">
        <v>20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35000</v>
      </c>
      <c r="I500" s="5">
        <v>30000</v>
      </c>
    </row>
    <row r="501" spans="2:9" x14ac:dyDescent="0.3">
      <c r="B501" s="4" t="s">
        <v>21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1117120</v>
      </c>
      <c r="I501" s="5">
        <v>1087000</v>
      </c>
    </row>
    <row r="502" spans="2:9" x14ac:dyDescent="0.3">
      <c r="B502" s="4" t="s">
        <v>22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44800</v>
      </c>
      <c r="I502" s="5">
        <v>46300</v>
      </c>
    </row>
    <row r="503" spans="2:9" x14ac:dyDescent="0.3">
      <c r="B503" s="4" t="s">
        <v>23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635461630</v>
      </c>
      <c r="I503" s="5">
        <v>643135120</v>
      </c>
    </row>
    <row r="504" spans="2:9" x14ac:dyDescent="0.3">
      <c r="B504" s="4" t="s">
        <v>36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2000</v>
      </c>
      <c r="I504" s="5">
        <v>0</v>
      </c>
    </row>
    <row r="505" spans="2:9" x14ac:dyDescent="0.3">
      <c r="B505" s="4" t="s">
        <v>24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275000</v>
      </c>
      <c r="I505" s="5">
        <v>275000</v>
      </c>
    </row>
    <row r="506" spans="2:9" x14ac:dyDescent="0.3">
      <c r="B506" s="4" t="s">
        <v>45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9820</v>
      </c>
      <c r="I506" s="5">
        <v>9820</v>
      </c>
    </row>
    <row r="507" spans="2:9" x14ac:dyDescent="0.3">
      <c r="B507" s="4" t="s">
        <v>26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155000</v>
      </c>
      <c r="I507" s="5">
        <v>155000</v>
      </c>
    </row>
    <row r="508" spans="2:9" x14ac:dyDescent="0.3">
      <c r="B508" s="4" t="s">
        <v>27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185000</v>
      </c>
      <c r="I508" s="5">
        <v>196570</v>
      </c>
    </row>
    <row r="509" spans="2:9" x14ac:dyDescent="0.3">
      <c r="B509" s="4" t="s">
        <v>34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30000</v>
      </c>
      <c r="I509" s="5">
        <v>0</v>
      </c>
    </row>
    <row r="510" spans="2:9" x14ac:dyDescent="0.3">
      <c r="B510" s="4" t="s">
        <v>28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40000</v>
      </c>
      <c r="I510" s="5">
        <v>40000</v>
      </c>
    </row>
    <row r="511" spans="2:9" x14ac:dyDescent="0.3">
      <c r="B511" s="4" t="s">
        <v>29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11000</v>
      </c>
      <c r="I511" s="5">
        <v>11000</v>
      </c>
    </row>
    <row r="512" spans="2:9" x14ac:dyDescent="0.3">
      <c r="B512" s="4" t="s">
        <v>30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89000</v>
      </c>
      <c r="I512" s="5">
        <v>91000</v>
      </c>
    </row>
    <row r="513" spans="2:9" x14ac:dyDescent="0.3">
      <c r="B513" s="4" t="s">
        <v>31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273985</v>
      </c>
      <c r="I513" s="5">
        <v>267000</v>
      </c>
    </row>
    <row r="514" spans="2:9" ht="15.6" x14ac:dyDescent="0.3">
      <c r="B514" s="18" t="s">
        <v>32</v>
      </c>
      <c r="C514" s="18"/>
      <c r="D514" s="7">
        <f>SUM(D496:D513)</f>
        <v>0</v>
      </c>
      <c r="E514" s="8"/>
      <c r="F514" s="7">
        <f>SUM(F496:F513)</f>
        <v>0</v>
      </c>
      <c r="G514" s="7">
        <f>SUM(G496:G513)</f>
        <v>0</v>
      </c>
      <c r="H514" s="6"/>
      <c r="I514" s="6"/>
    </row>
    <row r="516" spans="2:9" ht="15.6" x14ac:dyDescent="0.3">
      <c r="B516" s="17" t="s">
        <v>69</v>
      </c>
      <c r="C516" s="17"/>
      <c r="D516" s="17"/>
    </row>
    <row r="517" spans="2:9" x14ac:dyDescent="0.3">
      <c r="B517" s="4" t="s">
        <v>38</v>
      </c>
      <c r="C517" s="5">
        <v>0</v>
      </c>
      <c r="D517" s="5">
        <v>0</v>
      </c>
      <c r="E517" s="5">
        <v>1090</v>
      </c>
      <c r="F517" s="5">
        <v>31270</v>
      </c>
      <c r="G517" s="5">
        <v>195915</v>
      </c>
      <c r="H517" s="5">
        <v>0</v>
      </c>
      <c r="I517" s="5">
        <v>500</v>
      </c>
    </row>
    <row r="518" spans="2:9" x14ac:dyDescent="0.3">
      <c r="B518" s="4" t="s">
        <v>18</v>
      </c>
      <c r="C518" s="5">
        <v>4380</v>
      </c>
      <c r="D518" s="5">
        <v>1763790</v>
      </c>
      <c r="E518" s="5">
        <v>1030</v>
      </c>
      <c r="F518" s="5">
        <v>398650</v>
      </c>
      <c r="G518" s="5">
        <v>29195</v>
      </c>
      <c r="H518" s="5">
        <v>5000</v>
      </c>
      <c r="I518" s="5">
        <v>0</v>
      </c>
    </row>
    <row r="519" spans="2:9" x14ac:dyDescent="0.3">
      <c r="B519" s="4" t="s">
        <v>20</v>
      </c>
      <c r="C519" s="5">
        <v>0</v>
      </c>
      <c r="D519" s="5">
        <v>0</v>
      </c>
      <c r="E519" s="5">
        <v>3000</v>
      </c>
      <c r="F519" s="5">
        <v>0</v>
      </c>
      <c r="G519" s="5">
        <v>52260</v>
      </c>
      <c r="H519" s="5">
        <v>0</v>
      </c>
      <c r="I519" s="5">
        <v>0</v>
      </c>
    </row>
    <row r="520" spans="2:9" x14ac:dyDescent="0.3">
      <c r="B520" s="4" t="s">
        <v>21</v>
      </c>
      <c r="C520" s="5">
        <v>118356</v>
      </c>
      <c r="D520" s="5">
        <v>45190004</v>
      </c>
      <c r="E520" s="5">
        <v>55287</v>
      </c>
      <c r="F520" s="5">
        <v>19344338</v>
      </c>
      <c r="G520" s="5">
        <v>2286869</v>
      </c>
      <c r="H520" s="5">
        <v>82500</v>
      </c>
      <c r="I520" s="5">
        <v>19030</v>
      </c>
    </row>
    <row r="521" spans="2:9" x14ac:dyDescent="0.3">
      <c r="B521" s="4" t="s">
        <v>22</v>
      </c>
      <c r="C521" s="5">
        <v>2820</v>
      </c>
      <c r="D521" s="5">
        <v>1253620</v>
      </c>
      <c r="E521" s="5">
        <v>7920</v>
      </c>
      <c r="F521" s="5">
        <v>3520660</v>
      </c>
      <c r="G521" s="5">
        <v>91420</v>
      </c>
      <c r="H521" s="5">
        <v>1500</v>
      </c>
      <c r="I521" s="5">
        <v>6300</v>
      </c>
    </row>
    <row r="522" spans="2:9" x14ac:dyDescent="0.3">
      <c r="B522" s="4" t="s">
        <v>23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7600000</v>
      </c>
      <c r="I522" s="5">
        <v>51426970</v>
      </c>
    </row>
    <row r="523" spans="2:9" x14ac:dyDescent="0.3">
      <c r="B523" s="4" t="s">
        <v>26</v>
      </c>
      <c r="C523" s="5">
        <v>230</v>
      </c>
      <c r="D523" s="5">
        <v>19785</v>
      </c>
      <c r="E523" s="5">
        <v>25870</v>
      </c>
      <c r="F523" s="5">
        <v>866424</v>
      </c>
      <c r="G523" s="5">
        <v>1579911</v>
      </c>
      <c r="H523" s="5">
        <v>0</v>
      </c>
      <c r="I523" s="5">
        <v>25000</v>
      </c>
    </row>
    <row r="524" spans="2:9" x14ac:dyDescent="0.3">
      <c r="B524" s="4" t="s">
        <v>27</v>
      </c>
      <c r="C524" s="5">
        <v>10119</v>
      </c>
      <c r="D524" s="5">
        <v>748747</v>
      </c>
      <c r="E524" s="5">
        <v>5536</v>
      </c>
      <c r="F524" s="5">
        <v>320630</v>
      </c>
      <c r="G524" s="5">
        <v>148355</v>
      </c>
      <c r="H524" s="5">
        <v>10000</v>
      </c>
      <c r="I524" s="5">
        <v>0</v>
      </c>
    </row>
    <row r="525" spans="2:9" x14ac:dyDescent="0.3">
      <c r="B525" s="4" t="s">
        <v>29</v>
      </c>
      <c r="C525" s="5">
        <v>0</v>
      </c>
      <c r="D525" s="5">
        <v>0</v>
      </c>
      <c r="E525" s="5">
        <v>12500</v>
      </c>
      <c r="F525" s="5">
        <v>172875</v>
      </c>
      <c r="G525" s="5">
        <v>0</v>
      </c>
      <c r="H525" s="5">
        <v>0</v>
      </c>
      <c r="I525" s="5">
        <v>11000</v>
      </c>
    </row>
    <row r="526" spans="2:9" x14ac:dyDescent="0.3">
      <c r="B526" s="4" t="s">
        <v>30</v>
      </c>
      <c r="C526" s="5">
        <v>0</v>
      </c>
      <c r="D526" s="5">
        <v>0</v>
      </c>
      <c r="E526" s="5">
        <v>6850</v>
      </c>
      <c r="F526" s="5">
        <v>94815</v>
      </c>
      <c r="G526" s="5">
        <v>0</v>
      </c>
      <c r="H526" s="5">
        <v>0</v>
      </c>
      <c r="I526" s="5">
        <v>7000</v>
      </c>
    </row>
    <row r="527" spans="2:9" x14ac:dyDescent="0.3">
      <c r="B527" s="4" t="s">
        <v>31</v>
      </c>
      <c r="C527" s="5">
        <v>51445</v>
      </c>
      <c r="D527" s="5">
        <v>18370589</v>
      </c>
      <c r="E527" s="5">
        <v>6891</v>
      </c>
      <c r="F527" s="5">
        <v>2017153</v>
      </c>
      <c r="G527" s="5">
        <v>484135</v>
      </c>
      <c r="H527" s="5">
        <v>49000</v>
      </c>
      <c r="I527" s="5">
        <v>5200</v>
      </c>
    </row>
    <row r="528" spans="2:9" ht="15.6" x14ac:dyDescent="0.3">
      <c r="B528" s="18" t="s">
        <v>32</v>
      </c>
      <c r="C528" s="18"/>
      <c r="D528" s="7">
        <f>SUM(D517:D527)</f>
        <v>67346535</v>
      </c>
      <c r="E528" s="8"/>
      <c r="F528" s="7">
        <f>SUM(F517:F527)</f>
        <v>26766815</v>
      </c>
      <c r="G528" s="7">
        <f>SUM(G517:G527)</f>
        <v>4868060</v>
      </c>
      <c r="H528" s="6"/>
      <c r="I528" s="6"/>
    </row>
    <row r="530" spans="2:9" ht="15.6" x14ac:dyDescent="0.3">
      <c r="B530" s="17" t="s">
        <v>70</v>
      </c>
      <c r="C530" s="17"/>
      <c r="D530" s="17"/>
    </row>
    <row r="531" spans="2:9" x14ac:dyDescent="0.3">
      <c r="B531" s="4" t="s">
        <v>17</v>
      </c>
      <c r="C531" s="5">
        <v>1500</v>
      </c>
      <c r="D531" s="5">
        <v>382035</v>
      </c>
      <c r="E531" s="5">
        <v>0</v>
      </c>
      <c r="F531" s="5">
        <v>0</v>
      </c>
      <c r="G531" s="5">
        <v>0</v>
      </c>
      <c r="H531" s="5">
        <v>1600</v>
      </c>
      <c r="I531" s="5">
        <v>0</v>
      </c>
    </row>
    <row r="532" spans="2:9" x14ac:dyDescent="0.3">
      <c r="B532" s="4" t="s">
        <v>18</v>
      </c>
      <c r="C532" s="5">
        <v>20260</v>
      </c>
      <c r="D532" s="5">
        <v>8083743</v>
      </c>
      <c r="E532" s="5">
        <v>2210</v>
      </c>
      <c r="F532" s="5">
        <v>926695</v>
      </c>
      <c r="G532" s="5">
        <v>0</v>
      </c>
      <c r="H532" s="5">
        <v>18500</v>
      </c>
      <c r="I532" s="5">
        <v>0</v>
      </c>
    </row>
    <row r="533" spans="2:9" x14ac:dyDescent="0.3">
      <c r="B533" s="4" t="s">
        <v>20</v>
      </c>
      <c r="C533" s="5">
        <v>400</v>
      </c>
      <c r="D533" s="5">
        <v>5430</v>
      </c>
      <c r="E533" s="5">
        <v>2400</v>
      </c>
      <c r="F533" s="5">
        <v>41985</v>
      </c>
      <c r="G533" s="5">
        <v>0</v>
      </c>
      <c r="H533" s="5">
        <v>0</v>
      </c>
      <c r="I533" s="5">
        <v>0</v>
      </c>
    </row>
    <row r="534" spans="2:9" x14ac:dyDescent="0.3">
      <c r="B534" s="4" t="s">
        <v>21</v>
      </c>
      <c r="C534" s="5">
        <v>82649</v>
      </c>
      <c r="D534" s="5">
        <v>31235797</v>
      </c>
      <c r="E534" s="5">
        <v>36672</v>
      </c>
      <c r="F534" s="5">
        <v>12054717</v>
      </c>
      <c r="G534" s="5">
        <v>2401855</v>
      </c>
      <c r="H534" s="5">
        <v>50000</v>
      </c>
      <c r="I534" s="5">
        <v>50</v>
      </c>
    </row>
    <row r="535" spans="2:9" x14ac:dyDescent="0.3">
      <c r="B535" s="4" t="s">
        <v>22</v>
      </c>
      <c r="C535" s="5">
        <v>500</v>
      </c>
      <c r="D535" s="5">
        <v>220690</v>
      </c>
      <c r="E535" s="5">
        <v>4250</v>
      </c>
      <c r="F535" s="5">
        <v>1840609</v>
      </c>
      <c r="G535" s="5">
        <v>124885</v>
      </c>
      <c r="H535" s="5">
        <v>500</v>
      </c>
      <c r="I535" s="5">
        <v>3000</v>
      </c>
    </row>
    <row r="536" spans="2:9" x14ac:dyDescent="0.3">
      <c r="B536" s="4" t="s">
        <v>23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7700000</v>
      </c>
      <c r="I536" s="5">
        <v>35759770</v>
      </c>
    </row>
    <row r="537" spans="2:9" x14ac:dyDescent="0.3">
      <c r="B537" s="4" t="s">
        <v>26</v>
      </c>
      <c r="C537" s="5">
        <v>1100</v>
      </c>
      <c r="D537" s="5">
        <v>94035</v>
      </c>
      <c r="E537" s="5">
        <v>19090</v>
      </c>
      <c r="F537" s="5">
        <v>479655</v>
      </c>
      <c r="G537" s="5">
        <v>1332375</v>
      </c>
      <c r="H537" s="5">
        <v>0</v>
      </c>
      <c r="I537" s="5">
        <v>18000</v>
      </c>
    </row>
    <row r="538" spans="2:9" x14ac:dyDescent="0.3">
      <c r="B538" s="4" t="s">
        <v>27</v>
      </c>
      <c r="C538" s="5">
        <v>4088</v>
      </c>
      <c r="D538" s="5">
        <v>301640</v>
      </c>
      <c r="E538" s="5">
        <v>10110</v>
      </c>
      <c r="F538" s="5">
        <v>794458</v>
      </c>
      <c r="G538" s="5">
        <v>53180</v>
      </c>
      <c r="H538" s="5">
        <v>0</v>
      </c>
      <c r="I538" s="5">
        <v>7000</v>
      </c>
    </row>
    <row r="539" spans="2:9" x14ac:dyDescent="0.3">
      <c r="B539" s="4" t="s">
        <v>28</v>
      </c>
      <c r="C539" s="5">
        <v>0</v>
      </c>
      <c r="D539" s="5">
        <v>0</v>
      </c>
      <c r="E539" s="5">
        <v>1000</v>
      </c>
      <c r="F539" s="5">
        <v>5000</v>
      </c>
      <c r="G539" s="5">
        <v>0</v>
      </c>
      <c r="H539" s="5">
        <v>0</v>
      </c>
      <c r="I539" s="5">
        <v>0</v>
      </c>
    </row>
    <row r="540" spans="2:9" x14ac:dyDescent="0.3">
      <c r="B540" s="4" t="s">
        <v>30</v>
      </c>
      <c r="C540" s="5">
        <v>500</v>
      </c>
      <c r="D540" s="5">
        <v>5050</v>
      </c>
      <c r="E540" s="5">
        <v>17000</v>
      </c>
      <c r="F540" s="5">
        <v>253600</v>
      </c>
      <c r="G540" s="5">
        <v>0</v>
      </c>
      <c r="H540" s="5">
        <v>0</v>
      </c>
      <c r="I540" s="5">
        <v>17000</v>
      </c>
    </row>
    <row r="541" spans="2:9" x14ac:dyDescent="0.3">
      <c r="B541" s="4" t="s">
        <v>31</v>
      </c>
      <c r="C541" s="5">
        <v>7670</v>
      </c>
      <c r="D541" s="5">
        <v>2677455</v>
      </c>
      <c r="E541" s="5">
        <v>2268</v>
      </c>
      <c r="F541" s="5">
        <v>644201</v>
      </c>
      <c r="G541" s="5">
        <v>193795</v>
      </c>
      <c r="H541" s="5">
        <v>7000</v>
      </c>
      <c r="I541" s="5">
        <v>2605</v>
      </c>
    </row>
    <row r="542" spans="2:9" ht="15.6" x14ac:dyDescent="0.3">
      <c r="B542" s="18" t="s">
        <v>32</v>
      </c>
      <c r="C542" s="18"/>
      <c r="D542" s="7">
        <f>SUM(D531:D541)</f>
        <v>43005875</v>
      </c>
      <c r="E542" s="8"/>
      <c r="F542" s="7">
        <f>SUM(F531:F541)</f>
        <v>17040920</v>
      </c>
      <c r="G542" s="7">
        <f>SUM(G531:G541)</f>
        <v>4106090</v>
      </c>
      <c r="H542" s="6"/>
      <c r="I542" s="6"/>
    </row>
    <row r="544" spans="2:9" ht="15.6" x14ac:dyDescent="0.3">
      <c r="B544" s="17" t="s">
        <v>71</v>
      </c>
      <c r="C544" s="17"/>
      <c r="D544" s="17"/>
    </row>
    <row r="545" spans="2:9" x14ac:dyDescent="0.3">
      <c r="B545" s="4" t="s">
        <v>15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200</v>
      </c>
      <c r="I545" s="5">
        <v>100</v>
      </c>
    </row>
    <row r="546" spans="2:9" x14ac:dyDescent="0.3">
      <c r="B546" s="4" t="s">
        <v>48</v>
      </c>
      <c r="C546" s="5">
        <v>100</v>
      </c>
      <c r="D546" s="5">
        <v>18620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</row>
    <row r="547" spans="2:9" x14ac:dyDescent="0.3">
      <c r="B547" s="4" t="s">
        <v>38</v>
      </c>
      <c r="C547" s="5">
        <v>0</v>
      </c>
      <c r="D547" s="5">
        <v>0</v>
      </c>
      <c r="E547" s="5">
        <v>330</v>
      </c>
      <c r="F547" s="5">
        <v>68915</v>
      </c>
      <c r="G547" s="5">
        <v>0</v>
      </c>
      <c r="H547" s="5">
        <v>0</v>
      </c>
      <c r="I547" s="5">
        <v>0</v>
      </c>
    </row>
    <row r="548" spans="2:9" x14ac:dyDescent="0.3">
      <c r="B548" s="4" t="s">
        <v>17</v>
      </c>
      <c r="C548" s="5">
        <v>1660</v>
      </c>
      <c r="D548" s="5">
        <v>421105</v>
      </c>
      <c r="E548" s="5">
        <v>0</v>
      </c>
      <c r="F548" s="5">
        <v>0</v>
      </c>
      <c r="G548" s="5">
        <v>0</v>
      </c>
      <c r="H548" s="5">
        <v>1600</v>
      </c>
      <c r="I548" s="5">
        <v>0</v>
      </c>
    </row>
    <row r="549" spans="2:9" x14ac:dyDescent="0.3">
      <c r="B549" s="4" t="s">
        <v>18</v>
      </c>
      <c r="C549" s="5">
        <v>8800</v>
      </c>
      <c r="D549" s="5">
        <v>3495492</v>
      </c>
      <c r="E549" s="5">
        <v>1020</v>
      </c>
      <c r="F549" s="5">
        <v>385980</v>
      </c>
      <c r="G549" s="5">
        <v>41900</v>
      </c>
      <c r="H549" s="5">
        <v>7500</v>
      </c>
      <c r="I549" s="5">
        <v>0</v>
      </c>
    </row>
    <row r="550" spans="2:9" x14ac:dyDescent="0.3">
      <c r="B550" s="4" t="s">
        <v>19</v>
      </c>
      <c r="C550" s="5">
        <v>4000</v>
      </c>
      <c r="D550" s="5">
        <v>160719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</row>
    <row r="551" spans="2:9" x14ac:dyDescent="0.3">
      <c r="B551" s="4" t="s">
        <v>20</v>
      </c>
      <c r="C551" s="5">
        <v>9900</v>
      </c>
      <c r="D551" s="5">
        <v>134340</v>
      </c>
      <c r="E551" s="5">
        <v>800</v>
      </c>
      <c r="F551" s="5">
        <v>13890</v>
      </c>
      <c r="G551" s="5">
        <v>0</v>
      </c>
      <c r="H551" s="5">
        <v>0</v>
      </c>
      <c r="I551" s="5">
        <v>0</v>
      </c>
    </row>
    <row r="552" spans="2:9" x14ac:dyDescent="0.3">
      <c r="B552" s="4" t="s">
        <v>21</v>
      </c>
      <c r="C552" s="5">
        <v>212618</v>
      </c>
      <c r="D552" s="5">
        <v>80249840</v>
      </c>
      <c r="E552" s="5">
        <v>104175</v>
      </c>
      <c r="F552" s="5">
        <v>34246535</v>
      </c>
      <c r="G552" s="5">
        <v>6960657</v>
      </c>
      <c r="H552" s="5">
        <v>123000</v>
      </c>
      <c r="I552" s="5">
        <v>14780</v>
      </c>
    </row>
    <row r="553" spans="2:9" x14ac:dyDescent="0.3">
      <c r="B553" s="4" t="s">
        <v>22</v>
      </c>
      <c r="C553" s="5">
        <v>7395</v>
      </c>
      <c r="D553" s="5">
        <v>3276330</v>
      </c>
      <c r="E553" s="5">
        <v>5580</v>
      </c>
      <c r="F553" s="5">
        <v>1928885</v>
      </c>
      <c r="G553" s="5">
        <v>659320</v>
      </c>
      <c r="H553" s="5">
        <v>2500</v>
      </c>
      <c r="I553" s="5">
        <v>1500</v>
      </c>
    </row>
    <row r="554" spans="2:9" x14ac:dyDescent="0.3">
      <c r="B554" s="4" t="s">
        <v>23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11800000</v>
      </c>
      <c r="I554" s="5">
        <v>62892690</v>
      </c>
    </row>
    <row r="555" spans="2:9" x14ac:dyDescent="0.3">
      <c r="B555" s="4" t="s">
        <v>24</v>
      </c>
      <c r="C555" s="5">
        <v>0</v>
      </c>
      <c r="D555" s="5">
        <v>0</v>
      </c>
      <c r="E555" s="5">
        <v>10000</v>
      </c>
      <c r="F555" s="5">
        <v>26320</v>
      </c>
      <c r="G555" s="5">
        <v>0</v>
      </c>
      <c r="H555" s="5">
        <v>0</v>
      </c>
      <c r="I555" s="5">
        <v>20000</v>
      </c>
    </row>
    <row r="556" spans="2:9" x14ac:dyDescent="0.3">
      <c r="B556" s="4" t="s">
        <v>26</v>
      </c>
      <c r="C556" s="5">
        <v>9470</v>
      </c>
      <c r="D556" s="5">
        <v>811872</v>
      </c>
      <c r="E556" s="5">
        <v>44670</v>
      </c>
      <c r="F556" s="5">
        <v>3363794</v>
      </c>
      <c r="G556" s="5">
        <v>946406</v>
      </c>
      <c r="H556" s="5">
        <v>0</v>
      </c>
      <c r="I556" s="5">
        <v>40000</v>
      </c>
    </row>
    <row r="557" spans="2:9" x14ac:dyDescent="0.3">
      <c r="B557" s="4" t="s">
        <v>27</v>
      </c>
      <c r="C557" s="5">
        <v>33677</v>
      </c>
      <c r="D557" s="5">
        <v>2486553</v>
      </c>
      <c r="E557" s="5">
        <v>31456</v>
      </c>
      <c r="F557" s="5">
        <v>2164928</v>
      </c>
      <c r="G557" s="5">
        <v>499417</v>
      </c>
      <c r="H557" s="5">
        <v>200</v>
      </c>
      <c r="I557" s="5">
        <v>5000</v>
      </c>
    </row>
    <row r="558" spans="2:9" x14ac:dyDescent="0.3">
      <c r="B558" s="4" t="s">
        <v>34</v>
      </c>
      <c r="C558" s="5">
        <v>7870</v>
      </c>
      <c r="D558" s="5">
        <v>23610</v>
      </c>
      <c r="E558" s="5">
        <v>15000</v>
      </c>
      <c r="F558" s="5">
        <v>60750</v>
      </c>
      <c r="G558" s="5">
        <v>0</v>
      </c>
      <c r="H558" s="5">
        <v>0</v>
      </c>
      <c r="I558" s="5">
        <v>30000</v>
      </c>
    </row>
    <row r="559" spans="2:9" x14ac:dyDescent="0.3">
      <c r="B559" s="4" t="s">
        <v>28</v>
      </c>
      <c r="C559" s="5">
        <v>1210</v>
      </c>
      <c r="D559" s="5">
        <v>2420</v>
      </c>
      <c r="E559" s="5">
        <v>150</v>
      </c>
      <c r="F559" s="5">
        <v>750</v>
      </c>
      <c r="G559" s="5">
        <v>0</v>
      </c>
      <c r="H559" s="5">
        <v>0</v>
      </c>
      <c r="I559" s="5">
        <v>0</v>
      </c>
    </row>
    <row r="560" spans="2:9" x14ac:dyDescent="0.3">
      <c r="B560" s="4" t="s">
        <v>29</v>
      </c>
      <c r="C560" s="5">
        <v>20</v>
      </c>
      <c r="D560" s="5">
        <v>140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</row>
    <row r="561" spans="2:9" x14ac:dyDescent="0.3">
      <c r="B561" s="4" t="s">
        <v>30</v>
      </c>
      <c r="C561" s="5">
        <v>5875</v>
      </c>
      <c r="D561" s="5">
        <v>58022</v>
      </c>
      <c r="E561" s="5">
        <v>17175</v>
      </c>
      <c r="F561" s="5">
        <v>223205</v>
      </c>
      <c r="G561" s="5">
        <v>28800</v>
      </c>
      <c r="H561" s="5">
        <v>4000</v>
      </c>
      <c r="I561" s="5">
        <v>22000</v>
      </c>
    </row>
    <row r="562" spans="2:9" x14ac:dyDescent="0.3">
      <c r="B562" s="4" t="s">
        <v>31</v>
      </c>
      <c r="C562" s="5">
        <v>17904</v>
      </c>
      <c r="D562" s="5">
        <v>6252167</v>
      </c>
      <c r="E562" s="5">
        <v>15703</v>
      </c>
      <c r="F562" s="5">
        <v>4906743</v>
      </c>
      <c r="G562" s="5">
        <v>896250</v>
      </c>
      <c r="H562" s="5">
        <v>16000</v>
      </c>
      <c r="I562" s="5">
        <v>11500</v>
      </c>
    </row>
    <row r="563" spans="2:9" ht="15.6" x14ac:dyDescent="0.3">
      <c r="B563" s="18" t="s">
        <v>32</v>
      </c>
      <c r="C563" s="18"/>
      <c r="D563" s="7">
        <f>SUM(D545:D562)</f>
        <v>97391230</v>
      </c>
      <c r="E563" s="8"/>
      <c r="F563" s="7">
        <f>SUM(F545:F562)</f>
        <v>47390695</v>
      </c>
      <c r="G563" s="7">
        <f>SUM(G545:G562)</f>
        <v>10032750</v>
      </c>
      <c r="H563" s="6"/>
      <c r="I563" s="6"/>
    </row>
    <row r="565" spans="2:9" ht="15.6" x14ac:dyDescent="0.3">
      <c r="B565" s="17" t="s">
        <v>72</v>
      </c>
      <c r="C565" s="17"/>
      <c r="D565" s="17"/>
    </row>
    <row r="566" spans="2:9" x14ac:dyDescent="0.3">
      <c r="B566" s="4" t="s">
        <v>18</v>
      </c>
      <c r="C566" s="5">
        <v>260</v>
      </c>
      <c r="D566" s="5">
        <v>103990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</row>
    <row r="567" spans="2:9" x14ac:dyDescent="0.3">
      <c r="B567" s="4" t="s">
        <v>20</v>
      </c>
      <c r="C567" s="5">
        <v>1500</v>
      </c>
      <c r="D567" s="5">
        <v>20505</v>
      </c>
      <c r="E567" s="5">
        <v>2000</v>
      </c>
      <c r="F567" s="5">
        <v>35000</v>
      </c>
      <c r="G567" s="5">
        <v>0</v>
      </c>
      <c r="H567" s="5">
        <v>0</v>
      </c>
      <c r="I567" s="5">
        <v>0</v>
      </c>
    </row>
    <row r="568" spans="2:9" x14ac:dyDescent="0.3">
      <c r="B568" s="4" t="s">
        <v>21</v>
      </c>
      <c r="C568" s="5">
        <v>22303</v>
      </c>
      <c r="D568" s="5">
        <v>8507699</v>
      </c>
      <c r="E568" s="5">
        <v>10109</v>
      </c>
      <c r="F568" s="5">
        <v>1746150</v>
      </c>
      <c r="G568" s="5">
        <v>2207905</v>
      </c>
      <c r="H568" s="5">
        <v>11000</v>
      </c>
      <c r="I568" s="5">
        <v>0</v>
      </c>
    </row>
    <row r="569" spans="2:9" x14ac:dyDescent="0.3">
      <c r="B569" s="4" t="s">
        <v>22</v>
      </c>
      <c r="C569" s="5">
        <v>580</v>
      </c>
      <c r="D569" s="5">
        <v>259020</v>
      </c>
      <c r="E569" s="5">
        <v>400</v>
      </c>
      <c r="F569" s="5">
        <v>0</v>
      </c>
      <c r="G569" s="5">
        <v>184695</v>
      </c>
      <c r="H569" s="5">
        <v>0</v>
      </c>
      <c r="I569" s="5">
        <v>0</v>
      </c>
    </row>
    <row r="570" spans="2:9" x14ac:dyDescent="0.3">
      <c r="B570" s="4" t="s">
        <v>23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2000000</v>
      </c>
      <c r="I570" s="5">
        <v>9244010</v>
      </c>
    </row>
    <row r="571" spans="2:9" x14ac:dyDescent="0.3">
      <c r="B571" s="4" t="s">
        <v>26</v>
      </c>
      <c r="C571" s="5">
        <v>400</v>
      </c>
      <c r="D571" s="5">
        <v>34310</v>
      </c>
      <c r="E571" s="5">
        <v>1160</v>
      </c>
      <c r="F571" s="5">
        <v>53440</v>
      </c>
      <c r="G571" s="5">
        <v>58440</v>
      </c>
      <c r="H571" s="5">
        <v>0</v>
      </c>
      <c r="I571" s="5">
        <v>0</v>
      </c>
    </row>
    <row r="572" spans="2:9" x14ac:dyDescent="0.3">
      <c r="B572" s="4" t="s">
        <v>27</v>
      </c>
      <c r="C572" s="5">
        <v>10214</v>
      </c>
      <c r="D572" s="5">
        <v>758721</v>
      </c>
      <c r="E572" s="5">
        <v>5552</v>
      </c>
      <c r="F572" s="5">
        <v>19830</v>
      </c>
      <c r="G572" s="5">
        <v>447645</v>
      </c>
      <c r="H572" s="5">
        <v>5000</v>
      </c>
      <c r="I572" s="5">
        <v>0</v>
      </c>
    </row>
    <row r="573" spans="2:9" x14ac:dyDescent="0.3">
      <c r="B573" s="4" t="s">
        <v>31</v>
      </c>
      <c r="C573" s="5">
        <v>5097</v>
      </c>
      <c r="D573" s="5">
        <v>1798315</v>
      </c>
      <c r="E573" s="5">
        <v>7239</v>
      </c>
      <c r="F573" s="5">
        <v>2055090</v>
      </c>
      <c r="G573" s="5">
        <v>585600</v>
      </c>
      <c r="H573" s="5">
        <v>4000</v>
      </c>
      <c r="I573" s="5">
        <v>4500</v>
      </c>
    </row>
    <row r="574" spans="2:9" ht="15.6" x14ac:dyDescent="0.3">
      <c r="B574" s="18" t="s">
        <v>32</v>
      </c>
      <c r="C574" s="18"/>
      <c r="D574" s="7">
        <f>SUM(D566:D573)</f>
        <v>11482560</v>
      </c>
      <c r="E574" s="8"/>
      <c r="F574" s="7">
        <f>SUM(F566:F573)</f>
        <v>3909510</v>
      </c>
      <c r="G574" s="7">
        <f>SUM(G566:G573)</f>
        <v>3484285</v>
      </c>
      <c r="H574" s="6"/>
      <c r="I574" s="6"/>
    </row>
    <row r="576" spans="2:9" ht="15.6" x14ac:dyDescent="0.3">
      <c r="B576" s="17" t="s">
        <v>73</v>
      </c>
      <c r="C576" s="17"/>
      <c r="D576" s="17"/>
    </row>
    <row r="577" spans="2:9" x14ac:dyDescent="0.3">
      <c r="B577" s="4" t="s">
        <v>15</v>
      </c>
      <c r="C577" s="5">
        <v>1500</v>
      </c>
      <c r="D577" s="5">
        <v>336615</v>
      </c>
      <c r="E577" s="5">
        <v>205</v>
      </c>
      <c r="F577" s="5">
        <v>51555</v>
      </c>
      <c r="G577" s="5">
        <v>0</v>
      </c>
      <c r="H577" s="5">
        <v>1500</v>
      </c>
      <c r="I577" s="5">
        <v>200</v>
      </c>
    </row>
    <row r="578" spans="2:9" x14ac:dyDescent="0.3">
      <c r="B578" s="4" t="s">
        <v>16</v>
      </c>
      <c r="C578" s="5">
        <v>0</v>
      </c>
      <c r="D578" s="5">
        <v>0</v>
      </c>
      <c r="E578" s="5">
        <v>50</v>
      </c>
      <c r="F578" s="5">
        <v>4200</v>
      </c>
      <c r="G578" s="5">
        <v>0</v>
      </c>
      <c r="H578" s="5">
        <v>0</v>
      </c>
      <c r="I578" s="5">
        <v>0</v>
      </c>
    </row>
    <row r="579" spans="2:9" x14ac:dyDescent="0.3">
      <c r="B579" s="4" t="s">
        <v>18</v>
      </c>
      <c r="C579" s="5">
        <v>5110</v>
      </c>
      <c r="D579" s="5">
        <v>2035570</v>
      </c>
      <c r="E579" s="5">
        <v>1200</v>
      </c>
      <c r="F579" s="5">
        <v>503440</v>
      </c>
      <c r="G579" s="5">
        <v>0</v>
      </c>
      <c r="H579" s="5">
        <v>5000</v>
      </c>
      <c r="I579" s="5">
        <v>0</v>
      </c>
    </row>
    <row r="580" spans="2:9" x14ac:dyDescent="0.3">
      <c r="B580" s="4" t="s">
        <v>19</v>
      </c>
      <c r="C580" s="5">
        <v>0</v>
      </c>
      <c r="D580" s="5">
        <v>0</v>
      </c>
      <c r="E580" s="5">
        <v>15</v>
      </c>
      <c r="F580" s="5">
        <v>860</v>
      </c>
      <c r="G580" s="5">
        <v>0</v>
      </c>
      <c r="H580" s="5">
        <v>0</v>
      </c>
      <c r="I580" s="5">
        <v>0</v>
      </c>
    </row>
    <row r="581" spans="2:9" x14ac:dyDescent="0.3">
      <c r="B581" s="4" t="s">
        <v>20</v>
      </c>
      <c r="C581" s="5">
        <v>0</v>
      </c>
      <c r="D581" s="5">
        <v>0</v>
      </c>
      <c r="E581" s="5">
        <v>500</v>
      </c>
      <c r="F581" s="5">
        <v>8750</v>
      </c>
      <c r="G581" s="5">
        <v>0</v>
      </c>
      <c r="H581" s="5">
        <v>0</v>
      </c>
      <c r="I581" s="5">
        <v>5000</v>
      </c>
    </row>
    <row r="582" spans="2:9" x14ac:dyDescent="0.3">
      <c r="B582" s="4" t="s">
        <v>21</v>
      </c>
      <c r="C582" s="5">
        <v>110079</v>
      </c>
      <c r="D582" s="5">
        <v>41600637</v>
      </c>
      <c r="E582" s="5">
        <v>32932</v>
      </c>
      <c r="F582" s="5">
        <v>10009816</v>
      </c>
      <c r="G582" s="5">
        <v>3018928</v>
      </c>
      <c r="H582" s="5">
        <v>75000</v>
      </c>
      <c r="I582" s="5">
        <v>5000</v>
      </c>
    </row>
    <row r="583" spans="2:9" x14ac:dyDescent="0.3">
      <c r="B583" s="4" t="s">
        <v>22</v>
      </c>
      <c r="C583" s="5">
        <v>1885</v>
      </c>
      <c r="D583" s="5">
        <v>836322</v>
      </c>
      <c r="E583" s="5">
        <v>1270</v>
      </c>
      <c r="F583" s="5">
        <v>542015</v>
      </c>
      <c r="G583" s="5">
        <v>46500</v>
      </c>
      <c r="H583" s="5">
        <v>500</v>
      </c>
      <c r="I583" s="5">
        <v>0</v>
      </c>
    </row>
    <row r="584" spans="2:9" x14ac:dyDescent="0.3">
      <c r="B584" s="4" t="s">
        <v>23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8000000</v>
      </c>
      <c r="I584" s="5">
        <v>44583280</v>
      </c>
    </row>
    <row r="585" spans="2:9" x14ac:dyDescent="0.3">
      <c r="B585" s="4" t="s">
        <v>36</v>
      </c>
      <c r="C585" s="5">
        <v>0</v>
      </c>
      <c r="D585" s="5">
        <v>0</v>
      </c>
      <c r="E585" s="5">
        <v>20</v>
      </c>
      <c r="F585" s="5">
        <v>2075</v>
      </c>
      <c r="G585" s="5">
        <v>0</v>
      </c>
      <c r="H585" s="5">
        <v>0</v>
      </c>
      <c r="I585" s="5">
        <v>0</v>
      </c>
    </row>
    <row r="586" spans="2:9" x14ac:dyDescent="0.3">
      <c r="B586" s="4" t="s">
        <v>26</v>
      </c>
      <c r="C586" s="5">
        <v>1960</v>
      </c>
      <c r="D586" s="5">
        <v>168010</v>
      </c>
      <c r="E586" s="5">
        <v>5110</v>
      </c>
      <c r="F586" s="5">
        <v>474029</v>
      </c>
      <c r="G586" s="5">
        <v>19445</v>
      </c>
      <c r="H586" s="5">
        <v>0</v>
      </c>
      <c r="I586" s="5">
        <v>0</v>
      </c>
    </row>
    <row r="587" spans="2:9" x14ac:dyDescent="0.3">
      <c r="B587" s="4" t="s">
        <v>27</v>
      </c>
      <c r="C587" s="5">
        <v>52160</v>
      </c>
      <c r="D587" s="5">
        <v>3885776</v>
      </c>
      <c r="E587" s="5">
        <v>21151</v>
      </c>
      <c r="F587" s="5">
        <v>1704465</v>
      </c>
      <c r="G587" s="5">
        <v>87127</v>
      </c>
      <c r="H587" s="5">
        <v>35070</v>
      </c>
      <c r="I587" s="5">
        <v>0</v>
      </c>
    </row>
    <row r="588" spans="2:9" x14ac:dyDescent="0.3">
      <c r="B588" s="4" t="s">
        <v>34</v>
      </c>
      <c r="C588" s="5">
        <v>0</v>
      </c>
      <c r="D588" s="5">
        <v>0</v>
      </c>
      <c r="E588" s="5">
        <v>22000</v>
      </c>
      <c r="F588" s="5">
        <v>89100</v>
      </c>
      <c r="G588" s="5">
        <v>0</v>
      </c>
      <c r="H588" s="5">
        <v>0</v>
      </c>
      <c r="I588" s="5">
        <v>0</v>
      </c>
    </row>
    <row r="589" spans="2:9" x14ac:dyDescent="0.3">
      <c r="B589" s="4" t="s">
        <v>28</v>
      </c>
      <c r="C589" s="5">
        <v>0</v>
      </c>
      <c r="D589" s="5">
        <v>0</v>
      </c>
      <c r="E589" s="5">
        <v>150</v>
      </c>
      <c r="F589" s="5">
        <v>750</v>
      </c>
      <c r="G589" s="5">
        <v>0</v>
      </c>
      <c r="H589" s="5">
        <v>0</v>
      </c>
      <c r="I589" s="5">
        <v>0</v>
      </c>
    </row>
    <row r="590" spans="2:9" x14ac:dyDescent="0.3">
      <c r="B590" s="4" t="s">
        <v>31</v>
      </c>
      <c r="C590" s="5">
        <v>12610</v>
      </c>
      <c r="D590" s="5">
        <v>4476470</v>
      </c>
      <c r="E590" s="5">
        <v>1292</v>
      </c>
      <c r="F590" s="5">
        <v>404665</v>
      </c>
      <c r="G590" s="5">
        <v>74075</v>
      </c>
      <c r="H590" s="5">
        <v>12500</v>
      </c>
      <c r="I590" s="5">
        <v>2000</v>
      </c>
    </row>
    <row r="591" spans="2:9" ht="15.6" x14ac:dyDescent="0.3">
      <c r="B591" s="18" t="s">
        <v>32</v>
      </c>
      <c r="C591" s="18"/>
      <c r="D591" s="7">
        <f>SUM(D577:D590)</f>
        <v>53339400</v>
      </c>
      <c r="E591" s="8"/>
      <c r="F591" s="7">
        <f>SUM(F577:F590)</f>
        <v>13795720</v>
      </c>
      <c r="G591" s="7">
        <f>SUM(G577:G590)</f>
        <v>3246075</v>
      </c>
      <c r="H591" s="6"/>
      <c r="I591" s="6"/>
    </row>
    <row r="593" spans="2:9" ht="15.6" x14ac:dyDescent="0.3">
      <c r="B593" s="17" t="s">
        <v>74</v>
      </c>
      <c r="C593" s="17"/>
      <c r="D593" s="17"/>
    </row>
    <row r="594" spans="2:9" x14ac:dyDescent="0.3">
      <c r="B594" s="4" t="s">
        <v>15</v>
      </c>
      <c r="C594" s="5">
        <v>0</v>
      </c>
      <c r="D594" s="5">
        <v>0</v>
      </c>
      <c r="E594" s="5">
        <v>160</v>
      </c>
      <c r="F594" s="5">
        <v>37900</v>
      </c>
      <c r="G594" s="5">
        <v>0</v>
      </c>
      <c r="H594" s="5">
        <v>0</v>
      </c>
      <c r="I594" s="5">
        <v>100</v>
      </c>
    </row>
    <row r="595" spans="2:9" x14ac:dyDescent="0.3">
      <c r="B595" s="4" t="s">
        <v>17</v>
      </c>
      <c r="C595" s="5">
        <v>100</v>
      </c>
      <c r="D595" s="5">
        <v>25530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</row>
    <row r="596" spans="2:9" x14ac:dyDescent="0.3">
      <c r="B596" s="4" t="s">
        <v>18</v>
      </c>
      <c r="C596" s="5">
        <v>10660</v>
      </c>
      <c r="D596" s="5">
        <v>4313010</v>
      </c>
      <c r="E596" s="5">
        <v>210</v>
      </c>
      <c r="F596" s="5">
        <v>86371</v>
      </c>
      <c r="G596" s="5">
        <v>0</v>
      </c>
      <c r="H596" s="5">
        <v>11500</v>
      </c>
      <c r="I596" s="5">
        <v>0</v>
      </c>
    </row>
    <row r="597" spans="2:9" x14ac:dyDescent="0.3">
      <c r="B597" s="4" t="s">
        <v>19</v>
      </c>
      <c r="C597" s="5">
        <v>2185</v>
      </c>
      <c r="D597" s="5">
        <v>87793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</row>
    <row r="598" spans="2:9" x14ac:dyDescent="0.3">
      <c r="B598" s="4" t="s">
        <v>20</v>
      </c>
      <c r="C598" s="5">
        <v>3300</v>
      </c>
      <c r="D598" s="5">
        <v>48500</v>
      </c>
      <c r="E598" s="5">
        <v>6500</v>
      </c>
      <c r="F598" s="5">
        <v>112235</v>
      </c>
      <c r="G598" s="5">
        <v>0</v>
      </c>
      <c r="H598" s="5">
        <v>0</v>
      </c>
      <c r="I598" s="5">
        <v>10000</v>
      </c>
    </row>
    <row r="599" spans="2:9" x14ac:dyDescent="0.3">
      <c r="B599" s="4" t="s">
        <v>21</v>
      </c>
      <c r="C599" s="5">
        <v>84139</v>
      </c>
      <c r="D599" s="5">
        <v>32241222</v>
      </c>
      <c r="E599" s="5">
        <v>25567</v>
      </c>
      <c r="F599" s="5">
        <v>9912595</v>
      </c>
      <c r="G599" s="5">
        <v>0</v>
      </c>
      <c r="H599" s="5">
        <v>62000</v>
      </c>
      <c r="I599" s="5">
        <v>0</v>
      </c>
    </row>
    <row r="600" spans="2:9" x14ac:dyDescent="0.3">
      <c r="B600" s="4" t="s">
        <v>22</v>
      </c>
      <c r="C600" s="5">
        <v>2780</v>
      </c>
      <c r="D600" s="5">
        <v>1237402</v>
      </c>
      <c r="E600" s="5">
        <v>1400</v>
      </c>
      <c r="F600" s="5">
        <v>636459</v>
      </c>
      <c r="G600" s="5">
        <v>0</v>
      </c>
      <c r="H600" s="5">
        <v>2000</v>
      </c>
      <c r="I600" s="5">
        <v>0</v>
      </c>
    </row>
    <row r="601" spans="2:9" x14ac:dyDescent="0.3">
      <c r="B601" s="4" t="s">
        <v>23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37979395</v>
      </c>
    </row>
    <row r="602" spans="2:9" x14ac:dyDescent="0.3">
      <c r="B602" s="4" t="s">
        <v>36</v>
      </c>
      <c r="C602" s="5">
        <v>100</v>
      </c>
      <c r="D602" s="5">
        <v>8800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</row>
    <row r="603" spans="2:9" x14ac:dyDescent="0.3">
      <c r="B603" s="4" t="s">
        <v>26</v>
      </c>
      <c r="C603" s="5">
        <v>830</v>
      </c>
      <c r="D603" s="5">
        <v>73535</v>
      </c>
      <c r="E603" s="5">
        <v>3520</v>
      </c>
      <c r="F603" s="5">
        <v>322960</v>
      </c>
      <c r="G603" s="5">
        <v>0</v>
      </c>
      <c r="H603" s="5">
        <v>0</v>
      </c>
      <c r="I603" s="5">
        <v>3000</v>
      </c>
    </row>
    <row r="604" spans="2:9" x14ac:dyDescent="0.3">
      <c r="B604" s="4" t="s">
        <v>27</v>
      </c>
      <c r="C604" s="5">
        <v>11161</v>
      </c>
      <c r="D604" s="5">
        <v>833695</v>
      </c>
      <c r="E604" s="5">
        <v>3913</v>
      </c>
      <c r="F604" s="5">
        <v>308905</v>
      </c>
      <c r="G604" s="5">
        <v>0</v>
      </c>
      <c r="H604" s="5">
        <v>8000</v>
      </c>
      <c r="I604" s="5">
        <v>0</v>
      </c>
    </row>
    <row r="605" spans="2:9" x14ac:dyDescent="0.3">
      <c r="B605" s="4" t="s">
        <v>28</v>
      </c>
      <c r="C605" s="5">
        <v>7350</v>
      </c>
      <c r="D605" s="5">
        <v>14700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</row>
    <row r="606" spans="2:9" x14ac:dyDescent="0.3">
      <c r="B606" s="4" t="s">
        <v>29</v>
      </c>
      <c r="C606" s="5">
        <v>2650</v>
      </c>
      <c r="D606" s="5">
        <v>18550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</row>
    <row r="607" spans="2:9" x14ac:dyDescent="0.3">
      <c r="B607" s="4" t="s">
        <v>30</v>
      </c>
      <c r="C607" s="5">
        <v>0</v>
      </c>
      <c r="D607" s="5">
        <v>0</v>
      </c>
      <c r="E607" s="5">
        <v>2000</v>
      </c>
      <c r="F607" s="5">
        <v>27600</v>
      </c>
      <c r="G607" s="5">
        <v>0</v>
      </c>
      <c r="H607" s="5">
        <v>0</v>
      </c>
      <c r="I607" s="5">
        <v>0</v>
      </c>
    </row>
    <row r="608" spans="2:9" x14ac:dyDescent="0.3">
      <c r="B608" s="4" t="s">
        <v>31</v>
      </c>
      <c r="C608" s="5">
        <v>31755</v>
      </c>
      <c r="D608" s="5">
        <v>11279523</v>
      </c>
      <c r="E608" s="5">
        <v>12318</v>
      </c>
      <c r="F608" s="5">
        <v>4458325</v>
      </c>
      <c r="G608" s="5">
        <v>0</v>
      </c>
      <c r="H608" s="5">
        <v>24500</v>
      </c>
      <c r="I608" s="5">
        <v>0</v>
      </c>
    </row>
    <row r="609" spans="2:9" ht="15.6" x14ac:dyDescent="0.3">
      <c r="B609" s="18" t="s">
        <v>32</v>
      </c>
      <c r="C609" s="18"/>
      <c r="D609" s="7">
        <f>SUM(D594:D608)</f>
        <v>50182260</v>
      </c>
      <c r="E609" s="8"/>
      <c r="F609" s="7">
        <f>SUM(F594:F608)</f>
        <v>15903350</v>
      </c>
      <c r="G609" s="7">
        <f>SUM(G594:G608)</f>
        <v>0</v>
      </c>
      <c r="H609" s="6"/>
      <c r="I609" s="6"/>
    </row>
    <row r="611" spans="2:9" ht="15.6" x14ac:dyDescent="0.3">
      <c r="B611" s="17" t="s">
        <v>75</v>
      </c>
      <c r="C611" s="17"/>
      <c r="D611" s="17"/>
    </row>
    <row r="612" spans="2:9" x14ac:dyDescent="0.3">
      <c r="B612" s="4" t="s">
        <v>15</v>
      </c>
      <c r="C612" s="5">
        <v>230</v>
      </c>
      <c r="D612" s="5">
        <v>52165</v>
      </c>
      <c r="E612" s="5">
        <v>430</v>
      </c>
      <c r="F612" s="5">
        <v>102820</v>
      </c>
      <c r="G612" s="5">
        <v>0</v>
      </c>
      <c r="H612" s="5">
        <v>0</v>
      </c>
      <c r="I612" s="5">
        <v>200</v>
      </c>
    </row>
    <row r="613" spans="2:9" x14ac:dyDescent="0.3">
      <c r="B613" s="4" t="s">
        <v>16</v>
      </c>
      <c r="C613" s="5">
        <v>0</v>
      </c>
      <c r="D613" s="5">
        <v>0</v>
      </c>
      <c r="E613" s="5">
        <v>50</v>
      </c>
      <c r="F613" s="5">
        <v>4190</v>
      </c>
      <c r="G613" s="5">
        <v>0</v>
      </c>
      <c r="H613" s="5">
        <v>0</v>
      </c>
      <c r="I613" s="5">
        <v>0</v>
      </c>
    </row>
    <row r="614" spans="2:9" x14ac:dyDescent="0.3">
      <c r="B614" s="4" t="s">
        <v>17</v>
      </c>
      <c r="C614" s="5">
        <v>840</v>
      </c>
      <c r="D614" s="5">
        <v>214950</v>
      </c>
      <c r="E614" s="5">
        <v>900</v>
      </c>
      <c r="F614" s="5">
        <v>243020</v>
      </c>
      <c r="G614" s="5">
        <v>0</v>
      </c>
      <c r="H614" s="5">
        <v>0</v>
      </c>
      <c r="I614" s="5">
        <v>600</v>
      </c>
    </row>
    <row r="615" spans="2:9" x14ac:dyDescent="0.3">
      <c r="B615" s="4" t="s">
        <v>18</v>
      </c>
      <c r="C615" s="5">
        <v>17630</v>
      </c>
      <c r="D615" s="5">
        <v>7107547</v>
      </c>
      <c r="E615" s="5">
        <v>1260</v>
      </c>
      <c r="F615" s="5">
        <v>519692</v>
      </c>
      <c r="G615" s="5">
        <v>0</v>
      </c>
      <c r="H615" s="5">
        <v>25000</v>
      </c>
      <c r="I615" s="5">
        <v>5000</v>
      </c>
    </row>
    <row r="616" spans="2:9" x14ac:dyDescent="0.3">
      <c r="B616" s="4" t="s">
        <v>20</v>
      </c>
      <c r="C616" s="5">
        <v>2000</v>
      </c>
      <c r="D616" s="5">
        <v>29200</v>
      </c>
      <c r="E616" s="5">
        <v>8400</v>
      </c>
      <c r="F616" s="5">
        <v>144330</v>
      </c>
      <c r="G616" s="5">
        <v>0</v>
      </c>
      <c r="H616" s="5">
        <v>0</v>
      </c>
      <c r="I616" s="5">
        <v>0</v>
      </c>
    </row>
    <row r="617" spans="2:9" x14ac:dyDescent="0.3">
      <c r="B617" s="4" t="s">
        <v>21</v>
      </c>
      <c r="C617" s="5">
        <v>280132</v>
      </c>
      <c r="D617" s="5">
        <v>107190543</v>
      </c>
      <c r="E617" s="5">
        <v>89611</v>
      </c>
      <c r="F617" s="5">
        <v>34826373</v>
      </c>
      <c r="G617" s="5">
        <v>0</v>
      </c>
      <c r="H617" s="5">
        <v>212500</v>
      </c>
      <c r="I617" s="5">
        <v>12500</v>
      </c>
    </row>
    <row r="618" spans="2:9" x14ac:dyDescent="0.3">
      <c r="B618" s="4" t="s">
        <v>22</v>
      </c>
      <c r="C618" s="5">
        <v>6800</v>
      </c>
      <c r="D618" s="5">
        <v>3025184</v>
      </c>
      <c r="E618" s="5">
        <v>2040</v>
      </c>
      <c r="F618" s="5">
        <v>930823</v>
      </c>
      <c r="G618" s="5">
        <v>0</v>
      </c>
      <c r="H618" s="5">
        <v>7200</v>
      </c>
      <c r="I618" s="5">
        <v>1500</v>
      </c>
    </row>
    <row r="619" spans="2:9" x14ac:dyDescent="0.3">
      <c r="B619" s="4" t="s">
        <v>23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8011000</v>
      </c>
      <c r="I619" s="5">
        <v>121114080</v>
      </c>
    </row>
    <row r="620" spans="2:9" x14ac:dyDescent="0.3">
      <c r="B620" s="4" t="s">
        <v>36</v>
      </c>
      <c r="C620" s="5">
        <v>720</v>
      </c>
      <c r="D620" s="5">
        <v>63360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</row>
    <row r="621" spans="2:9" x14ac:dyDescent="0.3">
      <c r="B621" s="4" t="s">
        <v>24</v>
      </c>
      <c r="C621" s="5">
        <v>260000</v>
      </c>
      <c r="D621" s="5">
        <v>603200</v>
      </c>
      <c r="E621" s="5">
        <v>120000</v>
      </c>
      <c r="F621" s="5">
        <v>304800</v>
      </c>
      <c r="G621" s="5">
        <v>0</v>
      </c>
      <c r="H621" s="5">
        <v>140000</v>
      </c>
      <c r="I621" s="5">
        <v>0</v>
      </c>
    </row>
    <row r="622" spans="2:9" x14ac:dyDescent="0.3">
      <c r="B622" s="4" t="s">
        <v>45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820</v>
      </c>
      <c r="I622" s="5">
        <v>0</v>
      </c>
    </row>
    <row r="623" spans="2:9" x14ac:dyDescent="0.3">
      <c r="B623" s="4" t="s">
        <v>26</v>
      </c>
      <c r="C623" s="5">
        <v>6720</v>
      </c>
      <c r="D623" s="5">
        <v>595790</v>
      </c>
      <c r="E623" s="5">
        <v>16340</v>
      </c>
      <c r="F623" s="5">
        <v>1498816</v>
      </c>
      <c r="G623" s="5">
        <v>0</v>
      </c>
      <c r="H623" s="5">
        <v>10000</v>
      </c>
      <c r="I623" s="5">
        <v>20000</v>
      </c>
    </row>
    <row r="624" spans="2:9" x14ac:dyDescent="0.3">
      <c r="B624" s="4" t="s">
        <v>27</v>
      </c>
      <c r="C624" s="5">
        <v>21047</v>
      </c>
      <c r="D624" s="5">
        <v>1569955</v>
      </c>
      <c r="E624" s="5">
        <v>26514</v>
      </c>
      <c r="F624" s="5">
        <v>2089808</v>
      </c>
      <c r="G624" s="5">
        <v>0</v>
      </c>
      <c r="H624" s="5">
        <v>10000</v>
      </c>
      <c r="I624" s="5">
        <v>18000</v>
      </c>
    </row>
    <row r="625" spans="2:9" x14ac:dyDescent="0.3">
      <c r="B625" s="4" t="s">
        <v>34</v>
      </c>
      <c r="C625" s="5">
        <v>6300</v>
      </c>
      <c r="D625" s="5">
        <v>18898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</row>
    <row r="626" spans="2:9" x14ac:dyDescent="0.3">
      <c r="B626" s="4" t="s">
        <v>30</v>
      </c>
      <c r="C626" s="5">
        <v>1050</v>
      </c>
      <c r="D626" s="5">
        <v>10290</v>
      </c>
      <c r="E626" s="5">
        <v>11500</v>
      </c>
      <c r="F626" s="5">
        <v>166190</v>
      </c>
      <c r="G626" s="5">
        <v>0</v>
      </c>
      <c r="H626" s="5">
        <v>0</v>
      </c>
      <c r="I626" s="5">
        <v>13000</v>
      </c>
    </row>
    <row r="627" spans="2:9" x14ac:dyDescent="0.3">
      <c r="B627" s="4" t="s">
        <v>31</v>
      </c>
      <c r="C627" s="5">
        <v>94533</v>
      </c>
      <c r="D627" s="5">
        <v>33550278</v>
      </c>
      <c r="E627" s="5">
        <v>22160</v>
      </c>
      <c r="F627" s="5">
        <v>7991563</v>
      </c>
      <c r="G627" s="5">
        <v>0</v>
      </c>
      <c r="H627" s="5">
        <v>88500</v>
      </c>
      <c r="I627" s="5">
        <v>7700</v>
      </c>
    </row>
    <row r="628" spans="2:9" ht="15.6" x14ac:dyDescent="0.3">
      <c r="B628" s="18" t="s">
        <v>32</v>
      </c>
      <c r="C628" s="18"/>
      <c r="D628" s="7">
        <f>SUM(D612:D627)</f>
        <v>154031360</v>
      </c>
      <c r="E628" s="8"/>
      <c r="F628" s="7">
        <f>SUM(F612:F627)</f>
        <v>48822425</v>
      </c>
      <c r="G628" s="7">
        <f>SUM(G612:G627)</f>
        <v>0</v>
      </c>
      <c r="H628" s="6"/>
      <c r="I628" s="6"/>
    </row>
    <row r="630" spans="2:9" ht="15.6" x14ac:dyDescent="0.3">
      <c r="B630" s="17" t="s">
        <v>76</v>
      </c>
      <c r="C630" s="17"/>
      <c r="D630" s="17"/>
    </row>
    <row r="631" spans="2:9" x14ac:dyDescent="0.3">
      <c r="B631" s="4" t="s">
        <v>15</v>
      </c>
      <c r="C631" s="5">
        <v>0</v>
      </c>
      <c r="D631" s="5">
        <v>0</v>
      </c>
      <c r="E631" s="5">
        <v>910</v>
      </c>
      <c r="F631" s="5">
        <v>216058</v>
      </c>
      <c r="G631" s="5">
        <v>0</v>
      </c>
      <c r="H631" s="5">
        <v>0</v>
      </c>
      <c r="I631" s="5">
        <v>500</v>
      </c>
    </row>
    <row r="632" spans="2:9" x14ac:dyDescent="0.3">
      <c r="B632" s="4" t="s">
        <v>48</v>
      </c>
      <c r="C632" s="5">
        <v>50</v>
      </c>
      <c r="D632" s="5">
        <v>9310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</row>
    <row r="633" spans="2:9" x14ac:dyDescent="0.3">
      <c r="B633" s="4" t="s">
        <v>38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500</v>
      </c>
      <c r="I633" s="5">
        <v>0</v>
      </c>
    </row>
    <row r="634" spans="2:9" x14ac:dyDescent="0.3">
      <c r="B634" s="4" t="s">
        <v>17</v>
      </c>
      <c r="C634" s="5">
        <v>210</v>
      </c>
      <c r="D634" s="5">
        <v>53335</v>
      </c>
      <c r="E634" s="5">
        <v>80</v>
      </c>
      <c r="F634" s="5">
        <v>21507</v>
      </c>
      <c r="G634" s="5">
        <v>0</v>
      </c>
      <c r="H634" s="5">
        <v>100</v>
      </c>
      <c r="I634" s="5">
        <v>0</v>
      </c>
    </row>
    <row r="635" spans="2:9" x14ac:dyDescent="0.3">
      <c r="B635" s="4" t="s">
        <v>18</v>
      </c>
      <c r="C635" s="5">
        <v>7680</v>
      </c>
      <c r="D635" s="5">
        <v>3057605</v>
      </c>
      <c r="E635" s="5">
        <v>250</v>
      </c>
      <c r="F635" s="5">
        <v>105374</v>
      </c>
      <c r="G635" s="5">
        <v>0</v>
      </c>
      <c r="H635" s="5">
        <v>7500</v>
      </c>
      <c r="I635" s="5">
        <v>0</v>
      </c>
    </row>
    <row r="636" spans="2:9" x14ac:dyDescent="0.3">
      <c r="B636" s="4" t="s">
        <v>19</v>
      </c>
      <c r="C636" s="5">
        <v>100</v>
      </c>
      <c r="D636" s="5">
        <v>4020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</row>
    <row r="637" spans="2:9" x14ac:dyDescent="0.3">
      <c r="B637" s="4" t="s">
        <v>20</v>
      </c>
      <c r="C637" s="5">
        <v>800</v>
      </c>
      <c r="D637" s="5">
        <v>10795</v>
      </c>
      <c r="E637" s="5">
        <v>1300</v>
      </c>
      <c r="F637" s="5">
        <v>22720</v>
      </c>
      <c r="G637" s="5">
        <v>0</v>
      </c>
      <c r="H637" s="5">
        <v>0</v>
      </c>
      <c r="I637" s="5">
        <v>0</v>
      </c>
    </row>
    <row r="638" spans="2:9" x14ac:dyDescent="0.3">
      <c r="B638" s="4" t="s">
        <v>21</v>
      </c>
      <c r="C638" s="5">
        <v>170280</v>
      </c>
      <c r="D638" s="5">
        <v>64909284</v>
      </c>
      <c r="E638" s="5">
        <v>55481</v>
      </c>
      <c r="F638" s="5">
        <v>18180577</v>
      </c>
      <c r="G638" s="5">
        <v>3655705</v>
      </c>
      <c r="H638" s="5">
        <v>96000</v>
      </c>
      <c r="I638" s="5">
        <v>10000</v>
      </c>
    </row>
    <row r="639" spans="2:9" x14ac:dyDescent="0.3">
      <c r="B639" s="4" t="s">
        <v>22</v>
      </c>
      <c r="C639" s="5">
        <v>3540</v>
      </c>
      <c r="D639" s="5">
        <v>1564435</v>
      </c>
      <c r="E639" s="5">
        <v>2150</v>
      </c>
      <c r="F639" s="5">
        <v>753750</v>
      </c>
      <c r="G639" s="5">
        <v>239730</v>
      </c>
      <c r="H639" s="5">
        <v>4600</v>
      </c>
      <c r="I639" s="5">
        <v>3000</v>
      </c>
    </row>
    <row r="640" spans="2:9" x14ac:dyDescent="0.3">
      <c r="B640" s="4" t="s">
        <v>23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3020000</v>
      </c>
      <c r="I640" s="5">
        <v>68048870</v>
      </c>
    </row>
    <row r="641" spans="2:9" x14ac:dyDescent="0.3">
      <c r="B641" s="4" t="s">
        <v>36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2000</v>
      </c>
    </row>
    <row r="642" spans="2:9" x14ac:dyDescent="0.3">
      <c r="B642" s="4" t="s">
        <v>24</v>
      </c>
      <c r="C642" s="5">
        <v>53000</v>
      </c>
      <c r="D642" s="5">
        <v>121325</v>
      </c>
      <c r="E642" s="5">
        <v>263000</v>
      </c>
      <c r="F642" s="5">
        <v>702430</v>
      </c>
      <c r="G642" s="5">
        <v>0</v>
      </c>
      <c r="H642" s="5">
        <v>0</v>
      </c>
      <c r="I642" s="5">
        <v>255000</v>
      </c>
    </row>
    <row r="643" spans="2:9" x14ac:dyDescent="0.3">
      <c r="B643" s="4" t="s">
        <v>26</v>
      </c>
      <c r="C643" s="5">
        <v>1130</v>
      </c>
      <c r="D643" s="5">
        <v>96393</v>
      </c>
      <c r="E643" s="5">
        <v>15100</v>
      </c>
      <c r="F643" s="5">
        <v>1006605</v>
      </c>
      <c r="G643" s="5">
        <v>450413</v>
      </c>
      <c r="H643" s="5">
        <v>5000</v>
      </c>
      <c r="I643" s="5">
        <v>10000</v>
      </c>
    </row>
    <row r="644" spans="2:9" x14ac:dyDescent="0.3">
      <c r="B644" s="4" t="s">
        <v>27</v>
      </c>
      <c r="C644" s="5">
        <v>130461</v>
      </c>
      <c r="D644" s="5">
        <v>9690906</v>
      </c>
      <c r="E644" s="5">
        <v>18844</v>
      </c>
      <c r="F644" s="5">
        <v>1541831</v>
      </c>
      <c r="G644" s="5">
        <v>39692</v>
      </c>
      <c r="H644" s="5">
        <v>128300</v>
      </c>
      <c r="I644" s="5">
        <v>13000</v>
      </c>
    </row>
    <row r="645" spans="2:9" x14ac:dyDescent="0.3">
      <c r="B645" s="4" t="s">
        <v>34</v>
      </c>
      <c r="C645" s="5">
        <v>80</v>
      </c>
      <c r="D645" s="5">
        <v>240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</row>
    <row r="646" spans="2:9" x14ac:dyDescent="0.3">
      <c r="B646" s="4" t="s">
        <v>28</v>
      </c>
      <c r="C646" s="5">
        <v>6450</v>
      </c>
      <c r="D646" s="5">
        <v>12900</v>
      </c>
      <c r="E646" s="5">
        <v>0</v>
      </c>
      <c r="F646" s="5">
        <v>0</v>
      </c>
      <c r="G646" s="5">
        <v>0</v>
      </c>
      <c r="H646" s="5">
        <v>40000</v>
      </c>
      <c r="I646" s="5">
        <v>0</v>
      </c>
    </row>
    <row r="647" spans="2:9" x14ac:dyDescent="0.3">
      <c r="B647" s="4" t="s">
        <v>30</v>
      </c>
      <c r="C647" s="5">
        <v>2995</v>
      </c>
      <c r="D647" s="5">
        <v>29351</v>
      </c>
      <c r="E647" s="5">
        <v>11550</v>
      </c>
      <c r="F647" s="5">
        <v>106400</v>
      </c>
      <c r="G647" s="5">
        <v>64680</v>
      </c>
      <c r="H647" s="5">
        <v>12000</v>
      </c>
      <c r="I647" s="5">
        <v>18000</v>
      </c>
    </row>
    <row r="648" spans="2:9" x14ac:dyDescent="0.3">
      <c r="B648" s="4" t="s">
        <v>31</v>
      </c>
      <c r="C648" s="5">
        <v>46210</v>
      </c>
      <c r="D648" s="5">
        <v>16171031</v>
      </c>
      <c r="E648" s="5">
        <v>19717</v>
      </c>
      <c r="F648" s="5">
        <v>5212683</v>
      </c>
      <c r="G648" s="5">
        <v>1993625</v>
      </c>
      <c r="H648" s="5">
        <v>31000</v>
      </c>
      <c r="I648" s="5">
        <v>5020</v>
      </c>
    </row>
    <row r="649" spans="2:9" ht="15.6" x14ac:dyDescent="0.3">
      <c r="B649" s="18" t="s">
        <v>32</v>
      </c>
      <c r="C649" s="18"/>
      <c r="D649" s="7">
        <f>SUM(D631:D648)</f>
        <v>95730930</v>
      </c>
      <c r="E649" s="8"/>
      <c r="F649" s="7">
        <f>SUM(F631:F648)</f>
        <v>27869935</v>
      </c>
      <c r="G649" s="7">
        <f>SUM(G631:G648)</f>
        <v>6443845</v>
      </c>
      <c r="H649" s="6"/>
      <c r="I649" s="6"/>
    </row>
    <row r="651" spans="2:9" ht="15.6" x14ac:dyDescent="0.3">
      <c r="B651" s="17" t="s">
        <v>77</v>
      </c>
      <c r="C651" s="17"/>
      <c r="D651" s="17"/>
    </row>
    <row r="652" spans="2:9" x14ac:dyDescent="0.3">
      <c r="B652" s="4" t="s">
        <v>15</v>
      </c>
      <c r="C652" s="5">
        <v>0</v>
      </c>
      <c r="D652" s="5">
        <v>0</v>
      </c>
      <c r="E652" s="5">
        <v>350</v>
      </c>
      <c r="F652" s="5">
        <v>83970</v>
      </c>
      <c r="G652" s="5">
        <v>0</v>
      </c>
      <c r="H652" s="5">
        <v>0</v>
      </c>
      <c r="I652" s="5">
        <v>400</v>
      </c>
    </row>
    <row r="653" spans="2:9" x14ac:dyDescent="0.3">
      <c r="B653" s="4" t="s">
        <v>18</v>
      </c>
      <c r="C653" s="5">
        <v>12520</v>
      </c>
      <c r="D653" s="5">
        <v>5029485</v>
      </c>
      <c r="E653" s="5">
        <v>2390</v>
      </c>
      <c r="F653" s="5">
        <v>893195</v>
      </c>
      <c r="G653" s="5">
        <v>103800</v>
      </c>
      <c r="H653" s="5">
        <v>9000</v>
      </c>
      <c r="I653" s="5">
        <v>0</v>
      </c>
    </row>
    <row r="654" spans="2:9" x14ac:dyDescent="0.3">
      <c r="B654" s="4" t="s">
        <v>20</v>
      </c>
      <c r="C654" s="5">
        <v>400</v>
      </c>
      <c r="D654" s="5">
        <v>5395</v>
      </c>
      <c r="E654" s="5">
        <v>10900</v>
      </c>
      <c r="F654" s="5">
        <v>89120</v>
      </c>
      <c r="G654" s="5">
        <v>100945</v>
      </c>
      <c r="H654" s="5">
        <v>0</v>
      </c>
      <c r="I654" s="5">
        <v>5000</v>
      </c>
    </row>
    <row r="655" spans="2:9" x14ac:dyDescent="0.3">
      <c r="B655" s="4" t="s">
        <v>21</v>
      </c>
      <c r="C655" s="5">
        <v>179538</v>
      </c>
      <c r="D655" s="5">
        <v>68008534</v>
      </c>
      <c r="E655" s="5">
        <v>63738</v>
      </c>
      <c r="F655" s="5">
        <v>19973637</v>
      </c>
      <c r="G655" s="5">
        <v>5157132</v>
      </c>
      <c r="H655" s="5">
        <v>118000</v>
      </c>
      <c r="I655" s="5">
        <v>4000</v>
      </c>
    </row>
    <row r="656" spans="2:9" x14ac:dyDescent="0.3">
      <c r="B656" s="4" t="s">
        <v>22</v>
      </c>
      <c r="C656" s="5">
        <v>4160</v>
      </c>
      <c r="D656" s="5">
        <v>1851783</v>
      </c>
      <c r="E656" s="5">
        <v>1285</v>
      </c>
      <c r="F656" s="5">
        <v>421640</v>
      </c>
      <c r="G656" s="5">
        <v>173443</v>
      </c>
      <c r="H656" s="5">
        <v>3000</v>
      </c>
      <c r="I656" s="5">
        <v>0</v>
      </c>
    </row>
    <row r="657" spans="2:9" x14ac:dyDescent="0.3">
      <c r="B657" s="4" t="s">
        <v>23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3700000</v>
      </c>
      <c r="I657" s="5">
        <v>56352960</v>
      </c>
    </row>
    <row r="658" spans="2:9" x14ac:dyDescent="0.3">
      <c r="B658" s="4" t="s">
        <v>45</v>
      </c>
      <c r="C658" s="5">
        <v>0</v>
      </c>
      <c r="D658" s="5">
        <v>0</v>
      </c>
      <c r="E658" s="5">
        <v>10010</v>
      </c>
      <c r="F658" s="5">
        <v>284285</v>
      </c>
      <c r="G658" s="5">
        <v>0</v>
      </c>
      <c r="H658" s="5">
        <v>0</v>
      </c>
      <c r="I658" s="5">
        <v>9820</v>
      </c>
    </row>
    <row r="659" spans="2:9" x14ac:dyDescent="0.3">
      <c r="B659" s="4" t="s">
        <v>26</v>
      </c>
      <c r="C659" s="5">
        <v>5730</v>
      </c>
      <c r="D659" s="5">
        <v>493134</v>
      </c>
      <c r="E659" s="5">
        <v>28740</v>
      </c>
      <c r="F659" s="5">
        <v>1808598</v>
      </c>
      <c r="G659" s="5">
        <v>964645</v>
      </c>
      <c r="H659" s="5">
        <v>0</v>
      </c>
      <c r="I659" s="5">
        <v>16000</v>
      </c>
    </row>
    <row r="660" spans="2:9" x14ac:dyDescent="0.3">
      <c r="B660" s="4" t="s">
        <v>27</v>
      </c>
      <c r="C660" s="5">
        <v>2731</v>
      </c>
      <c r="D660" s="5">
        <v>201812</v>
      </c>
      <c r="E660" s="5">
        <v>3750</v>
      </c>
      <c r="F660" s="5">
        <v>226955</v>
      </c>
      <c r="G660" s="5">
        <v>90857</v>
      </c>
      <c r="H660" s="5">
        <v>0</v>
      </c>
      <c r="I660" s="5">
        <v>0</v>
      </c>
    </row>
    <row r="661" spans="2:9" x14ac:dyDescent="0.3">
      <c r="B661" s="4" t="s">
        <v>34</v>
      </c>
      <c r="C661" s="5">
        <v>780</v>
      </c>
      <c r="D661" s="5">
        <v>2340</v>
      </c>
      <c r="E661" s="5">
        <v>34100</v>
      </c>
      <c r="F661" s="5">
        <v>78165</v>
      </c>
      <c r="G661" s="5">
        <v>59940</v>
      </c>
      <c r="H661" s="5">
        <v>0</v>
      </c>
      <c r="I661" s="5">
        <v>0</v>
      </c>
    </row>
    <row r="662" spans="2:9" x14ac:dyDescent="0.3">
      <c r="B662" s="4" t="s">
        <v>30</v>
      </c>
      <c r="C662" s="5">
        <v>0</v>
      </c>
      <c r="D662" s="5">
        <v>0</v>
      </c>
      <c r="E662" s="5">
        <v>1250</v>
      </c>
      <c r="F662" s="5">
        <v>0</v>
      </c>
      <c r="G662" s="5">
        <v>19250</v>
      </c>
      <c r="H662" s="5">
        <v>0</v>
      </c>
      <c r="I662" s="5">
        <v>3000</v>
      </c>
    </row>
    <row r="663" spans="2:9" x14ac:dyDescent="0.3">
      <c r="B663" s="4" t="s">
        <v>31</v>
      </c>
      <c r="C663" s="5">
        <v>20475</v>
      </c>
      <c r="D663" s="5">
        <v>7181352</v>
      </c>
      <c r="E663" s="5">
        <v>10659</v>
      </c>
      <c r="F663" s="5">
        <v>2579180</v>
      </c>
      <c r="G663" s="5">
        <v>1355793</v>
      </c>
      <c r="H663" s="5">
        <v>18500</v>
      </c>
      <c r="I663" s="5">
        <v>9980</v>
      </c>
    </row>
    <row r="664" spans="2:9" ht="15.6" x14ac:dyDescent="0.3">
      <c r="B664" s="18" t="s">
        <v>32</v>
      </c>
      <c r="C664" s="18"/>
      <c r="D664" s="7">
        <f>SUM(D652:D663)</f>
        <v>82773835</v>
      </c>
      <c r="E664" s="8"/>
      <c r="F664" s="7">
        <f>SUM(F652:F663)</f>
        <v>26438745</v>
      </c>
      <c r="G664" s="7">
        <f>SUM(G652:G663)</f>
        <v>8025805</v>
      </c>
      <c r="H664" s="6"/>
      <c r="I664" s="6"/>
    </row>
    <row r="666" spans="2:9" ht="15.6" x14ac:dyDescent="0.3">
      <c r="B666" s="17" t="s">
        <v>78</v>
      </c>
      <c r="C666" s="17"/>
      <c r="D666" s="17"/>
    </row>
    <row r="667" spans="2:9" x14ac:dyDescent="0.3">
      <c r="B667" s="4" t="s">
        <v>15</v>
      </c>
      <c r="C667" s="5">
        <v>100</v>
      </c>
      <c r="D667" s="5">
        <v>22670</v>
      </c>
      <c r="E667" s="5">
        <v>300</v>
      </c>
      <c r="F667" s="5">
        <v>71370</v>
      </c>
      <c r="G667" s="5">
        <v>0</v>
      </c>
      <c r="H667" s="5">
        <v>0</v>
      </c>
      <c r="I667" s="5">
        <v>100</v>
      </c>
    </row>
    <row r="668" spans="2:9" x14ac:dyDescent="0.3">
      <c r="B668" s="4" t="s">
        <v>38</v>
      </c>
      <c r="C668" s="5">
        <v>50</v>
      </c>
      <c r="D668" s="5">
        <v>9281</v>
      </c>
      <c r="E668" s="5">
        <v>110</v>
      </c>
      <c r="F668" s="5">
        <v>22850</v>
      </c>
      <c r="G668" s="5">
        <v>0</v>
      </c>
      <c r="H668" s="5">
        <v>0</v>
      </c>
      <c r="I668" s="5">
        <v>0</v>
      </c>
    </row>
    <row r="669" spans="2:9" x14ac:dyDescent="0.3">
      <c r="B669" s="4" t="s">
        <v>17</v>
      </c>
      <c r="C669" s="5">
        <v>1250</v>
      </c>
      <c r="D669" s="5">
        <v>319435</v>
      </c>
      <c r="E669" s="5">
        <v>100</v>
      </c>
      <c r="F669" s="5">
        <v>26980</v>
      </c>
      <c r="G669" s="5">
        <v>0</v>
      </c>
      <c r="H669" s="5">
        <v>1000</v>
      </c>
      <c r="I669" s="5">
        <v>0</v>
      </c>
    </row>
    <row r="670" spans="2:9" x14ac:dyDescent="0.3">
      <c r="B670" s="4" t="s">
        <v>18</v>
      </c>
      <c r="C670" s="5">
        <v>20650</v>
      </c>
      <c r="D670" s="5">
        <v>8373805</v>
      </c>
      <c r="E670" s="5">
        <v>2450</v>
      </c>
      <c r="F670" s="5">
        <v>1009470</v>
      </c>
      <c r="G670" s="5">
        <v>0</v>
      </c>
      <c r="H670" s="5">
        <v>12000</v>
      </c>
      <c r="I670" s="5">
        <v>0</v>
      </c>
    </row>
    <row r="671" spans="2:9" x14ac:dyDescent="0.3">
      <c r="B671" s="4" t="s">
        <v>19</v>
      </c>
      <c r="C671" s="5">
        <v>222</v>
      </c>
      <c r="D671" s="5">
        <v>8920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</row>
    <row r="672" spans="2:9" x14ac:dyDescent="0.3">
      <c r="B672" s="4" t="s">
        <v>20</v>
      </c>
      <c r="C672" s="5">
        <v>6500</v>
      </c>
      <c r="D672" s="5">
        <v>95430</v>
      </c>
      <c r="E672" s="5">
        <v>25000</v>
      </c>
      <c r="F672" s="5">
        <v>431456</v>
      </c>
      <c r="G672" s="5">
        <v>0</v>
      </c>
      <c r="H672" s="5">
        <v>0</v>
      </c>
      <c r="I672" s="5">
        <v>15000</v>
      </c>
    </row>
    <row r="673" spans="2:9" x14ac:dyDescent="0.3">
      <c r="B673" s="4" t="s">
        <v>21</v>
      </c>
      <c r="C673" s="5">
        <v>323028</v>
      </c>
      <c r="D673" s="5">
        <v>124045433</v>
      </c>
      <c r="E673" s="5">
        <v>84936</v>
      </c>
      <c r="F673" s="5">
        <v>33029549</v>
      </c>
      <c r="G673" s="5">
        <v>0</v>
      </c>
      <c r="H673" s="5">
        <v>257000</v>
      </c>
      <c r="I673" s="5">
        <v>21760</v>
      </c>
    </row>
    <row r="674" spans="2:9" x14ac:dyDescent="0.3">
      <c r="B674" s="4" t="s">
        <v>22</v>
      </c>
      <c r="C674" s="5">
        <v>16910</v>
      </c>
      <c r="D674" s="5">
        <v>7572464</v>
      </c>
      <c r="E674" s="5">
        <v>5730</v>
      </c>
      <c r="F674" s="5">
        <v>2617621</v>
      </c>
      <c r="G674" s="5">
        <v>0</v>
      </c>
      <c r="H674" s="5">
        <v>14500</v>
      </c>
      <c r="I674" s="5">
        <v>2500</v>
      </c>
    </row>
    <row r="675" spans="2:9" x14ac:dyDescent="0.3">
      <c r="B675" s="4" t="s">
        <v>23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7000000</v>
      </c>
      <c r="I675" s="5">
        <v>105952335</v>
      </c>
    </row>
    <row r="676" spans="2:9" x14ac:dyDescent="0.3">
      <c r="B676" s="4" t="s">
        <v>24</v>
      </c>
      <c r="C676" s="5">
        <v>320000</v>
      </c>
      <c r="D676" s="5">
        <v>742400</v>
      </c>
      <c r="E676" s="5">
        <v>100000</v>
      </c>
      <c r="F676" s="5">
        <v>260000</v>
      </c>
      <c r="G676" s="5">
        <v>0</v>
      </c>
      <c r="H676" s="5">
        <v>100000</v>
      </c>
      <c r="I676" s="5">
        <v>0</v>
      </c>
    </row>
    <row r="677" spans="2:9" x14ac:dyDescent="0.3">
      <c r="B677" s="4" t="s">
        <v>26</v>
      </c>
      <c r="C677" s="5">
        <v>6750</v>
      </c>
      <c r="D677" s="5">
        <v>598317</v>
      </c>
      <c r="E677" s="5">
        <v>36450</v>
      </c>
      <c r="F677" s="5">
        <v>3344156</v>
      </c>
      <c r="G677" s="5">
        <v>0</v>
      </c>
      <c r="H677" s="5">
        <v>0</v>
      </c>
      <c r="I677" s="5">
        <v>23000</v>
      </c>
    </row>
    <row r="678" spans="2:9" x14ac:dyDescent="0.3">
      <c r="B678" s="4" t="s">
        <v>27</v>
      </c>
      <c r="C678" s="5">
        <v>13239</v>
      </c>
      <c r="D678" s="5">
        <v>982225</v>
      </c>
      <c r="E678" s="5">
        <v>17007</v>
      </c>
      <c r="F678" s="5">
        <v>1348189</v>
      </c>
      <c r="G678" s="5">
        <v>0</v>
      </c>
      <c r="H678" s="5">
        <v>0</v>
      </c>
      <c r="I678" s="5">
        <v>2000</v>
      </c>
    </row>
    <row r="679" spans="2:9" x14ac:dyDescent="0.3">
      <c r="B679" s="4" t="s">
        <v>34</v>
      </c>
      <c r="C679" s="5">
        <v>54640</v>
      </c>
      <c r="D679" s="5">
        <v>164435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</row>
    <row r="680" spans="2:9" x14ac:dyDescent="0.3">
      <c r="B680" s="4" t="s">
        <v>28</v>
      </c>
      <c r="C680" s="5">
        <v>0</v>
      </c>
      <c r="D680" s="5">
        <v>0</v>
      </c>
      <c r="E680" s="5">
        <v>50000</v>
      </c>
      <c r="F680" s="5">
        <v>250000</v>
      </c>
      <c r="G680" s="5">
        <v>0</v>
      </c>
      <c r="H680" s="5">
        <v>0</v>
      </c>
      <c r="I680" s="5">
        <v>40000</v>
      </c>
    </row>
    <row r="681" spans="2:9" x14ac:dyDescent="0.3">
      <c r="B681" s="4" t="s">
        <v>30</v>
      </c>
      <c r="C681" s="5">
        <v>165</v>
      </c>
      <c r="D681" s="5">
        <v>1615</v>
      </c>
      <c r="E681" s="5">
        <v>15095</v>
      </c>
      <c r="F681" s="5">
        <v>211165</v>
      </c>
      <c r="G681" s="5">
        <v>0</v>
      </c>
      <c r="H681" s="5">
        <v>0</v>
      </c>
      <c r="I681" s="5">
        <v>9000</v>
      </c>
    </row>
    <row r="682" spans="2:9" x14ac:dyDescent="0.3">
      <c r="B682" s="4" t="s">
        <v>31</v>
      </c>
      <c r="C682" s="5">
        <v>31444</v>
      </c>
      <c r="D682" s="5">
        <v>11180880</v>
      </c>
      <c r="E682" s="5">
        <v>29669</v>
      </c>
      <c r="F682" s="5">
        <v>10748689</v>
      </c>
      <c r="G682" s="5">
        <v>0</v>
      </c>
      <c r="H682" s="5">
        <v>16000</v>
      </c>
      <c r="I682" s="5">
        <v>10480</v>
      </c>
    </row>
    <row r="683" spans="2:9" ht="15.6" x14ac:dyDescent="0.3">
      <c r="B683" s="18" t="s">
        <v>32</v>
      </c>
      <c r="C683" s="18"/>
      <c r="D683" s="7">
        <f>SUM(D667:D682)</f>
        <v>154117310</v>
      </c>
      <c r="E683" s="8"/>
      <c r="F683" s="7">
        <f>SUM(F667:F682)</f>
        <v>53371495</v>
      </c>
      <c r="G683" s="7">
        <f>SUM(G667:G682)</f>
        <v>0</v>
      </c>
      <c r="H683" s="6"/>
      <c r="I683" s="6"/>
    </row>
    <row r="685" spans="2:9" ht="17.399999999999999" x14ac:dyDescent="0.3">
      <c r="B685" s="22" t="s">
        <v>79</v>
      </c>
      <c r="C685" s="22"/>
      <c r="D685" s="22"/>
      <c r="E685" s="22"/>
      <c r="F685" s="22"/>
      <c r="G685" s="22"/>
      <c r="H685" s="22"/>
      <c r="I685" s="22"/>
    </row>
    <row r="686" spans="2:9" ht="15.6" x14ac:dyDescent="0.3">
      <c r="B686" s="17" t="s">
        <v>80</v>
      </c>
      <c r="C686" s="17"/>
      <c r="D686" s="17"/>
    </row>
    <row r="687" spans="2:9" x14ac:dyDescent="0.3">
      <c r="B687" s="4" t="s">
        <v>15</v>
      </c>
      <c r="C687" s="5">
        <v>910</v>
      </c>
      <c r="D687" s="5">
        <v>202235</v>
      </c>
      <c r="E687" s="5">
        <v>0</v>
      </c>
      <c r="F687" s="5">
        <v>0</v>
      </c>
      <c r="G687" s="5">
        <v>0</v>
      </c>
      <c r="H687" s="5">
        <v>800</v>
      </c>
      <c r="I687" s="5">
        <v>0</v>
      </c>
    </row>
    <row r="688" spans="2:9" x14ac:dyDescent="0.3">
      <c r="B688" s="4" t="s">
        <v>38</v>
      </c>
      <c r="C688" s="5">
        <v>60</v>
      </c>
      <c r="D688" s="5">
        <v>11254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</row>
    <row r="689" spans="2:9" x14ac:dyDescent="0.3">
      <c r="B689" s="4" t="s">
        <v>17</v>
      </c>
      <c r="C689" s="5">
        <v>400</v>
      </c>
      <c r="D689" s="5">
        <v>101976</v>
      </c>
      <c r="E689" s="5">
        <v>0</v>
      </c>
      <c r="F689" s="5">
        <v>0</v>
      </c>
      <c r="G689" s="5">
        <v>0</v>
      </c>
      <c r="H689" s="5">
        <v>500</v>
      </c>
      <c r="I689" s="5">
        <v>0</v>
      </c>
    </row>
    <row r="690" spans="2:9" x14ac:dyDescent="0.3">
      <c r="B690" s="4" t="s">
        <v>18</v>
      </c>
      <c r="C690" s="5">
        <v>13150</v>
      </c>
      <c r="D690" s="5">
        <v>5262698</v>
      </c>
      <c r="E690" s="5">
        <v>1110</v>
      </c>
      <c r="F690" s="5">
        <v>466176</v>
      </c>
      <c r="G690" s="5">
        <v>0</v>
      </c>
      <c r="H690" s="5">
        <v>12000</v>
      </c>
      <c r="I690" s="5">
        <v>0</v>
      </c>
    </row>
    <row r="691" spans="2:9" x14ac:dyDescent="0.3">
      <c r="B691" s="4" t="s">
        <v>20</v>
      </c>
      <c r="C691" s="5">
        <v>11900</v>
      </c>
      <c r="D691" s="5">
        <v>168841</v>
      </c>
      <c r="E691" s="5">
        <v>17900</v>
      </c>
      <c r="F691" s="5">
        <v>278945</v>
      </c>
      <c r="G691" s="5">
        <v>34820</v>
      </c>
      <c r="H691" s="5">
        <v>0</v>
      </c>
      <c r="I691" s="5">
        <v>15000</v>
      </c>
    </row>
    <row r="692" spans="2:9" x14ac:dyDescent="0.3">
      <c r="B692" s="4" t="s">
        <v>21</v>
      </c>
      <c r="C692" s="5">
        <v>178671</v>
      </c>
      <c r="D692" s="5">
        <v>67490931</v>
      </c>
      <c r="E692" s="5">
        <v>89945</v>
      </c>
      <c r="F692" s="5">
        <v>30055731</v>
      </c>
      <c r="G692" s="5">
        <v>5473455</v>
      </c>
      <c r="H692" s="5">
        <v>97000</v>
      </c>
      <c r="I692" s="5">
        <v>9000</v>
      </c>
    </row>
    <row r="693" spans="2:9" x14ac:dyDescent="0.3">
      <c r="B693" s="4" t="s">
        <v>22</v>
      </c>
      <c r="C693" s="5">
        <v>11790</v>
      </c>
      <c r="D693" s="5">
        <v>5219175</v>
      </c>
      <c r="E693" s="5">
        <v>5835</v>
      </c>
      <c r="F693" s="5">
        <v>2072740</v>
      </c>
      <c r="G693" s="5">
        <v>630024</v>
      </c>
      <c r="H693" s="5">
        <v>5600</v>
      </c>
      <c r="I693" s="5">
        <v>0</v>
      </c>
    </row>
    <row r="694" spans="2:9" x14ac:dyDescent="0.3">
      <c r="B694" s="4" t="s">
        <v>23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23000000</v>
      </c>
      <c r="I694" s="5">
        <v>70022850</v>
      </c>
    </row>
    <row r="695" spans="2:9" x14ac:dyDescent="0.3">
      <c r="B695" s="4" t="s">
        <v>36</v>
      </c>
      <c r="C695" s="5">
        <v>20</v>
      </c>
      <c r="D695" s="5">
        <v>1760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</row>
    <row r="696" spans="2:9" x14ac:dyDescent="0.3">
      <c r="B696" s="4" t="s">
        <v>24</v>
      </c>
      <c r="C696" s="5">
        <v>0</v>
      </c>
      <c r="D696" s="5">
        <v>0</v>
      </c>
      <c r="E696" s="5">
        <v>150000</v>
      </c>
      <c r="F696" s="5">
        <v>0</v>
      </c>
      <c r="G696" s="5">
        <v>395850</v>
      </c>
      <c r="H696" s="5">
        <v>0</v>
      </c>
      <c r="I696" s="5">
        <v>150000</v>
      </c>
    </row>
    <row r="697" spans="2:9" x14ac:dyDescent="0.3">
      <c r="B697" s="4" t="s">
        <v>26</v>
      </c>
      <c r="C697" s="5">
        <v>36440</v>
      </c>
      <c r="D697" s="5">
        <v>3138087</v>
      </c>
      <c r="E697" s="5">
        <v>83910</v>
      </c>
      <c r="F697" s="5">
        <v>6095486</v>
      </c>
      <c r="G697" s="5">
        <v>1997284</v>
      </c>
      <c r="H697" s="5">
        <v>27000</v>
      </c>
      <c r="I697" s="5">
        <v>78000</v>
      </c>
    </row>
    <row r="698" spans="2:9" x14ac:dyDescent="0.3">
      <c r="B698" s="4" t="s">
        <v>27</v>
      </c>
      <c r="C698" s="5">
        <v>14059</v>
      </c>
      <c r="D698" s="5">
        <v>1040504</v>
      </c>
      <c r="E698" s="5">
        <v>27753</v>
      </c>
      <c r="F698" s="5">
        <v>2308235</v>
      </c>
      <c r="G698" s="5">
        <v>49395</v>
      </c>
      <c r="H698" s="5">
        <v>0</v>
      </c>
      <c r="I698" s="5">
        <v>10000</v>
      </c>
    </row>
    <row r="699" spans="2:9" x14ac:dyDescent="0.3">
      <c r="B699" s="4" t="s">
        <v>34</v>
      </c>
      <c r="C699" s="5">
        <v>30</v>
      </c>
      <c r="D699" s="5">
        <v>90</v>
      </c>
      <c r="E699" s="5">
        <v>26660</v>
      </c>
      <c r="F699" s="5">
        <v>90885</v>
      </c>
      <c r="G699" s="5">
        <v>17090</v>
      </c>
      <c r="H699" s="5">
        <v>0</v>
      </c>
      <c r="I699" s="5">
        <v>20000</v>
      </c>
    </row>
    <row r="700" spans="2:9" x14ac:dyDescent="0.3">
      <c r="B700" s="4" t="s">
        <v>30</v>
      </c>
      <c r="C700" s="5">
        <v>3395</v>
      </c>
      <c r="D700" s="5">
        <v>33272</v>
      </c>
      <c r="E700" s="5">
        <v>13695</v>
      </c>
      <c r="F700" s="5">
        <v>200050</v>
      </c>
      <c r="G700" s="5">
        <v>0</v>
      </c>
      <c r="H700" s="5">
        <v>0</v>
      </c>
      <c r="I700" s="5">
        <v>17000</v>
      </c>
    </row>
    <row r="701" spans="2:9" x14ac:dyDescent="0.3">
      <c r="B701" s="4" t="s">
        <v>31</v>
      </c>
      <c r="C701" s="5">
        <v>29080</v>
      </c>
      <c r="D701" s="5">
        <v>10240442</v>
      </c>
      <c r="E701" s="5">
        <v>15260</v>
      </c>
      <c r="F701" s="5">
        <v>4680017</v>
      </c>
      <c r="G701" s="5">
        <v>954292</v>
      </c>
      <c r="H701" s="5">
        <v>16000</v>
      </c>
      <c r="I701" s="5">
        <v>3000</v>
      </c>
    </row>
    <row r="702" spans="2:9" ht="15.6" x14ac:dyDescent="0.3">
      <c r="B702" s="18" t="s">
        <v>32</v>
      </c>
      <c r="C702" s="18"/>
      <c r="D702" s="7">
        <f>SUM(D687:D701)</f>
        <v>92911265</v>
      </c>
      <c r="E702" s="8"/>
      <c r="F702" s="7">
        <f>SUM(F687:F701)</f>
        <v>46248265</v>
      </c>
      <c r="G702" s="7">
        <f>SUM(G687:G701)</f>
        <v>9552210</v>
      </c>
      <c r="H702" s="6"/>
      <c r="I702" s="6"/>
    </row>
    <row r="704" spans="2:9" ht="15.6" x14ac:dyDescent="0.3">
      <c r="B704" s="17" t="s">
        <v>81</v>
      </c>
      <c r="C704" s="17"/>
      <c r="D704" s="17"/>
    </row>
    <row r="705" spans="2:9" x14ac:dyDescent="0.3">
      <c r="B705" s="4" t="s">
        <v>17</v>
      </c>
      <c r="C705" s="5">
        <v>140</v>
      </c>
      <c r="D705" s="5">
        <v>35830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</row>
    <row r="706" spans="2:9" x14ac:dyDescent="0.3">
      <c r="B706" s="4" t="s">
        <v>18</v>
      </c>
      <c r="C706" s="5">
        <v>14700</v>
      </c>
      <c r="D706" s="5">
        <v>5932070</v>
      </c>
      <c r="E706" s="5">
        <v>1100</v>
      </c>
      <c r="F706" s="5">
        <v>250525</v>
      </c>
      <c r="G706" s="5">
        <v>205770</v>
      </c>
      <c r="H706" s="5">
        <v>13500</v>
      </c>
      <c r="I706" s="5">
        <v>0</v>
      </c>
    </row>
    <row r="707" spans="2:9" x14ac:dyDescent="0.3">
      <c r="B707" s="4" t="s">
        <v>20</v>
      </c>
      <c r="C707" s="5">
        <v>43800</v>
      </c>
      <c r="D707" s="5">
        <v>603090</v>
      </c>
      <c r="E707" s="5">
        <v>9000</v>
      </c>
      <c r="F707" s="5">
        <v>127805</v>
      </c>
      <c r="G707" s="5">
        <v>29975</v>
      </c>
      <c r="H707" s="5">
        <v>30000</v>
      </c>
      <c r="I707" s="5">
        <v>0</v>
      </c>
    </row>
    <row r="708" spans="2:9" x14ac:dyDescent="0.3">
      <c r="B708" s="4" t="s">
        <v>21</v>
      </c>
      <c r="C708" s="5">
        <v>67121</v>
      </c>
      <c r="D708" s="5">
        <v>25485064</v>
      </c>
      <c r="E708" s="5">
        <v>41386</v>
      </c>
      <c r="F708" s="5">
        <v>13226780</v>
      </c>
      <c r="G708" s="5">
        <v>2986065</v>
      </c>
      <c r="H708" s="5">
        <v>35000</v>
      </c>
      <c r="I708" s="5">
        <v>5000</v>
      </c>
    </row>
    <row r="709" spans="2:9" x14ac:dyDescent="0.3">
      <c r="B709" s="4" t="s">
        <v>22</v>
      </c>
      <c r="C709" s="5">
        <v>1730</v>
      </c>
      <c r="D709" s="5">
        <v>767756</v>
      </c>
      <c r="E709" s="5">
        <v>1510</v>
      </c>
      <c r="F709" s="5">
        <v>623475</v>
      </c>
      <c r="G709" s="5">
        <v>69120</v>
      </c>
      <c r="H709" s="5">
        <v>500</v>
      </c>
      <c r="I709" s="5">
        <v>0</v>
      </c>
    </row>
    <row r="710" spans="2:9" x14ac:dyDescent="0.3">
      <c r="B710" s="4" t="s">
        <v>23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1000000</v>
      </c>
      <c r="I710" s="5">
        <v>21948120</v>
      </c>
    </row>
    <row r="711" spans="2:9" x14ac:dyDescent="0.3">
      <c r="B711" s="4" t="s">
        <v>36</v>
      </c>
      <c r="C711" s="5">
        <v>20</v>
      </c>
      <c r="D711" s="5">
        <v>1760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</row>
    <row r="712" spans="2:9" x14ac:dyDescent="0.3">
      <c r="B712" s="4" t="s">
        <v>26</v>
      </c>
      <c r="C712" s="5">
        <v>2370</v>
      </c>
      <c r="D712" s="5">
        <v>203904</v>
      </c>
      <c r="E712" s="5">
        <v>17600</v>
      </c>
      <c r="F712" s="5">
        <v>1033275</v>
      </c>
      <c r="G712" s="5">
        <v>665175</v>
      </c>
      <c r="H712" s="5">
        <v>0</v>
      </c>
      <c r="I712" s="5">
        <v>15000</v>
      </c>
    </row>
    <row r="713" spans="2:9" x14ac:dyDescent="0.3">
      <c r="B713" s="4" t="s">
        <v>27</v>
      </c>
      <c r="C713" s="5">
        <v>8625</v>
      </c>
      <c r="D713" s="5">
        <v>637871</v>
      </c>
      <c r="E713" s="5">
        <v>11089</v>
      </c>
      <c r="F713" s="5">
        <v>830205</v>
      </c>
      <c r="G713" s="5">
        <v>111340</v>
      </c>
      <c r="H713" s="5">
        <v>0</v>
      </c>
      <c r="I713" s="5">
        <v>0</v>
      </c>
    </row>
    <row r="714" spans="2:9" x14ac:dyDescent="0.3">
      <c r="B714" s="4" t="s">
        <v>28</v>
      </c>
      <c r="C714" s="5">
        <v>0</v>
      </c>
      <c r="D714" s="5">
        <v>0</v>
      </c>
      <c r="E714" s="5">
        <v>100</v>
      </c>
      <c r="F714" s="5">
        <v>500</v>
      </c>
      <c r="G714" s="5">
        <v>0</v>
      </c>
      <c r="H714" s="5">
        <v>0</v>
      </c>
      <c r="I714" s="5">
        <v>0</v>
      </c>
    </row>
    <row r="715" spans="2:9" x14ac:dyDescent="0.3">
      <c r="B715" s="4" t="s">
        <v>29</v>
      </c>
      <c r="C715" s="5">
        <v>0</v>
      </c>
      <c r="D715" s="5">
        <v>0</v>
      </c>
      <c r="E715" s="5">
        <v>170</v>
      </c>
      <c r="F715" s="5">
        <v>2370</v>
      </c>
      <c r="G715" s="5">
        <v>0</v>
      </c>
      <c r="H715" s="5">
        <v>0</v>
      </c>
      <c r="I715" s="5">
        <v>0</v>
      </c>
    </row>
    <row r="716" spans="2:9" x14ac:dyDescent="0.3">
      <c r="B716" s="4" t="s">
        <v>30</v>
      </c>
      <c r="C716" s="5">
        <v>210</v>
      </c>
      <c r="D716" s="5">
        <v>2120</v>
      </c>
      <c r="E716" s="5">
        <v>2160</v>
      </c>
      <c r="F716" s="5">
        <v>16940</v>
      </c>
      <c r="G716" s="5">
        <v>14000</v>
      </c>
      <c r="H716" s="5">
        <v>0</v>
      </c>
      <c r="I716" s="5">
        <v>0</v>
      </c>
    </row>
    <row r="717" spans="2:9" x14ac:dyDescent="0.3">
      <c r="B717" s="4" t="s">
        <v>31</v>
      </c>
      <c r="C717" s="5">
        <v>11039</v>
      </c>
      <c r="D717" s="5">
        <v>3874040</v>
      </c>
      <c r="E717" s="5">
        <v>4652</v>
      </c>
      <c r="F717" s="5">
        <v>1617730</v>
      </c>
      <c r="G717" s="5">
        <v>63665</v>
      </c>
      <c r="H717" s="5">
        <v>6000</v>
      </c>
      <c r="I717" s="5">
        <v>700</v>
      </c>
    </row>
    <row r="718" spans="2:9" ht="15.6" x14ac:dyDescent="0.3">
      <c r="B718" s="18" t="s">
        <v>32</v>
      </c>
      <c r="C718" s="18"/>
      <c r="D718" s="7">
        <f>SUM(D705:D717)</f>
        <v>37543505</v>
      </c>
      <c r="E718" s="8"/>
      <c r="F718" s="7">
        <f>SUM(F705:F717)</f>
        <v>17729605</v>
      </c>
      <c r="G718" s="7">
        <f>SUM(G705:G717)</f>
        <v>4145110</v>
      </c>
      <c r="H718" s="6"/>
      <c r="I718" s="6"/>
    </row>
    <row r="720" spans="2:9" ht="15.6" x14ac:dyDescent="0.3">
      <c r="B720" s="17" t="s">
        <v>82</v>
      </c>
      <c r="C720" s="17"/>
      <c r="D720" s="17"/>
    </row>
    <row r="721" spans="2:9" x14ac:dyDescent="0.3">
      <c r="B721" s="4" t="s">
        <v>17</v>
      </c>
      <c r="C721" s="5">
        <v>1450</v>
      </c>
      <c r="D721" s="5">
        <v>369555</v>
      </c>
      <c r="E721" s="5">
        <v>0</v>
      </c>
      <c r="F721" s="5">
        <v>0</v>
      </c>
      <c r="G721" s="5">
        <v>0</v>
      </c>
      <c r="H721" s="5">
        <v>1500</v>
      </c>
      <c r="I721" s="5">
        <v>0</v>
      </c>
    </row>
    <row r="722" spans="2:9" x14ac:dyDescent="0.3">
      <c r="B722" s="4" t="s">
        <v>18</v>
      </c>
      <c r="C722" s="5">
        <v>2680</v>
      </c>
      <c r="D722" s="5">
        <v>1067670</v>
      </c>
      <c r="E722" s="5">
        <v>500</v>
      </c>
      <c r="F722" s="5">
        <v>209370</v>
      </c>
      <c r="G722" s="5">
        <v>0</v>
      </c>
      <c r="H722" s="5">
        <v>2500</v>
      </c>
      <c r="I722" s="5">
        <v>0</v>
      </c>
    </row>
    <row r="723" spans="2:9" x14ac:dyDescent="0.3">
      <c r="B723" s="4" t="s">
        <v>20</v>
      </c>
      <c r="C723" s="5">
        <v>500</v>
      </c>
      <c r="D723" s="5">
        <v>7115</v>
      </c>
      <c r="E723" s="5">
        <v>9100</v>
      </c>
      <c r="F723" s="5">
        <v>153750</v>
      </c>
      <c r="G723" s="5">
        <v>5290</v>
      </c>
      <c r="H723" s="5">
        <v>1000</v>
      </c>
      <c r="I723" s="5">
        <v>15000</v>
      </c>
    </row>
    <row r="724" spans="2:9" x14ac:dyDescent="0.3">
      <c r="B724" s="4" t="s">
        <v>21</v>
      </c>
      <c r="C724" s="5">
        <v>60952</v>
      </c>
      <c r="D724" s="5">
        <v>23031024</v>
      </c>
      <c r="E724" s="5">
        <v>45195</v>
      </c>
      <c r="F724" s="5">
        <v>11296012</v>
      </c>
      <c r="G724" s="5">
        <v>6589786</v>
      </c>
      <c r="H724" s="5">
        <v>34000</v>
      </c>
      <c r="I724" s="5">
        <v>15000</v>
      </c>
    </row>
    <row r="725" spans="2:9" x14ac:dyDescent="0.3">
      <c r="B725" s="4" t="s">
        <v>22</v>
      </c>
      <c r="C725" s="5">
        <v>4660</v>
      </c>
      <c r="D725" s="5">
        <v>2052435</v>
      </c>
      <c r="E725" s="5">
        <v>2880</v>
      </c>
      <c r="F725" s="5">
        <v>1195971</v>
      </c>
      <c r="G725" s="5">
        <v>139564</v>
      </c>
      <c r="H725" s="5">
        <v>2000</v>
      </c>
      <c r="I725" s="5">
        <v>0</v>
      </c>
    </row>
    <row r="726" spans="2:9" x14ac:dyDescent="0.3">
      <c r="B726" s="4" t="s">
        <v>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7800000</v>
      </c>
      <c r="I726" s="5">
        <v>25810450</v>
      </c>
    </row>
    <row r="727" spans="2:9" x14ac:dyDescent="0.3">
      <c r="B727" s="4" t="s">
        <v>26</v>
      </c>
      <c r="C727" s="5">
        <v>3220</v>
      </c>
      <c r="D727" s="5">
        <v>276776</v>
      </c>
      <c r="E727" s="5">
        <v>15830</v>
      </c>
      <c r="F727" s="5">
        <v>1333597</v>
      </c>
      <c r="G727" s="5">
        <v>195483</v>
      </c>
      <c r="H727" s="5">
        <v>0</v>
      </c>
      <c r="I727" s="5">
        <v>18000</v>
      </c>
    </row>
    <row r="728" spans="2:9" x14ac:dyDescent="0.3">
      <c r="B728" s="4" t="s">
        <v>27</v>
      </c>
      <c r="C728" s="5">
        <v>16332</v>
      </c>
      <c r="D728" s="5">
        <v>1206530</v>
      </c>
      <c r="E728" s="5">
        <v>7457</v>
      </c>
      <c r="F728" s="5">
        <v>609532</v>
      </c>
      <c r="G728" s="5">
        <v>23290</v>
      </c>
      <c r="H728" s="5">
        <v>0</v>
      </c>
      <c r="I728" s="5">
        <v>0</v>
      </c>
    </row>
    <row r="729" spans="2:9" x14ac:dyDescent="0.3">
      <c r="B729" s="4" t="s">
        <v>34</v>
      </c>
      <c r="C729" s="5">
        <v>0</v>
      </c>
      <c r="D729" s="5">
        <v>0</v>
      </c>
      <c r="E729" s="5">
        <v>12000</v>
      </c>
      <c r="F729" s="5">
        <v>48600</v>
      </c>
      <c r="G729" s="5">
        <v>0</v>
      </c>
      <c r="H729" s="5">
        <v>0</v>
      </c>
      <c r="I729" s="5">
        <v>0</v>
      </c>
    </row>
    <row r="730" spans="2:9" x14ac:dyDescent="0.3">
      <c r="B730" s="4" t="s">
        <v>30</v>
      </c>
      <c r="C730" s="5">
        <v>0</v>
      </c>
      <c r="D730" s="5">
        <v>0</v>
      </c>
      <c r="E730" s="5">
        <v>2600</v>
      </c>
      <c r="F730" s="5">
        <v>36398</v>
      </c>
      <c r="G730" s="5">
        <v>0</v>
      </c>
      <c r="H730" s="5">
        <v>5000</v>
      </c>
      <c r="I730" s="5">
        <v>15000</v>
      </c>
    </row>
    <row r="731" spans="2:9" x14ac:dyDescent="0.3">
      <c r="B731" s="4" t="s">
        <v>31</v>
      </c>
      <c r="C731" s="5">
        <v>21221</v>
      </c>
      <c r="D731" s="5">
        <v>7476140</v>
      </c>
      <c r="E731" s="5">
        <v>9602</v>
      </c>
      <c r="F731" s="5">
        <v>3266415</v>
      </c>
      <c r="G731" s="5">
        <v>281447</v>
      </c>
      <c r="H731" s="5">
        <v>17500</v>
      </c>
      <c r="I731" s="5">
        <v>5000</v>
      </c>
    </row>
    <row r="732" spans="2:9" ht="15.6" x14ac:dyDescent="0.3">
      <c r="B732" s="18" t="s">
        <v>32</v>
      </c>
      <c r="C732" s="18"/>
      <c r="D732" s="7">
        <f>SUM(D721:D731)</f>
        <v>35487245</v>
      </c>
      <c r="E732" s="8"/>
      <c r="F732" s="7">
        <f>SUM(F721:F731)</f>
        <v>18149645</v>
      </c>
      <c r="G732" s="7">
        <f>SUM(G721:G731)</f>
        <v>7234860</v>
      </c>
      <c r="H732" s="6"/>
      <c r="I732" s="6"/>
    </row>
    <row r="734" spans="2:9" ht="15.6" x14ac:dyDescent="0.3">
      <c r="B734" s="17" t="s">
        <v>83</v>
      </c>
      <c r="C734" s="17"/>
      <c r="D734" s="17"/>
    </row>
    <row r="735" spans="2:9" x14ac:dyDescent="0.3">
      <c r="B735" s="4" t="s">
        <v>15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800</v>
      </c>
      <c r="I735" s="5">
        <v>800</v>
      </c>
    </row>
    <row r="736" spans="2:9" x14ac:dyDescent="0.3">
      <c r="B736" s="4" t="s">
        <v>38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1000</v>
      </c>
      <c r="I736" s="5">
        <v>0</v>
      </c>
    </row>
    <row r="737" spans="2:9" x14ac:dyDescent="0.3">
      <c r="B737" s="4" t="s">
        <v>16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838</v>
      </c>
      <c r="I737" s="5">
        <v>838</v>
      </c>
    </row>
    <row r="738" spans="2:9" x14ac:dyDescent="0.3">
      <c r="B738" s="4" t="s">
        <v>17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3000</v>
      </c>
      <c r="I738" s="5">
        <v>2400</v>
      </c>
    </row>
    <row r="739" spans="2:9" x14ac:dyDescent="0.3">
      <c r="B739" s="4" t="s">
        <v>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60000</v>
      </c>
      <c r="I739" s="5">
        <v>78500</v>
      </c>
    </row>
    <row r="740" spans="2:9" x14ac:dyDescent="0.3">
      <c r="B740" s="4" t="s">
        <v>20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190000</v>
      </c>
      <c r="I740" s="5">
        <v>241000</v>
      </c>
    </row>
    <row r="741" spans="2:9" x14ac:dyDescent="0.3">
      <c r="B741" s="4" t="s">
        <v>21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814750</v>
      </c>
      <c r="I741" s="5">
        <v>837150</v>
      </c>
    </row>
    <row r="742" spans="2:9" x14ac:dyDescent="0.3">
      <c r="B742" s="4" t="s">
        <v>22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35600</v>
      </c>
      <c r="I742" s="5">
        <v>38600</v>
      </c>
    </row>
    <row r="743" spans="2:9" x14ac:dyDescent="0.3">
      <c r="B743" s="4" t="s">
        <v>23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487334425</v>
      </c>
      <c r="I743" s="5">
        <v>468694740</v>
      </c>
    </row>
    <row r="744" spans="2:9" x14ac:dyDescent="0.3">
      <c r="B744" s="4" t="s">
        <v>24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150000</v>
      </c>
      <c r="I744" s="5">
        <v>150000</v>
      </c>
    </row>
    <row r="745" spans="2:9" x14ac:dyDescent="0.3">
      <c r="B745" s="4" t="s">
        <v>25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1000</v>
      </c>
      <c r="I745" s="5">
        <v>1000</v>
      </c>
    </row>
    <row r="746" spans="2:9" x14ac:dyDescent="0.3">
      <c r="B746" s="4" t="s">
        <v>26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297500</v>
      </c>
      <c r="I746" s="5">
        <v>317000</v>
      </c>
    </row>
    <row r="747" spans="2:9" x14ac:dyDescent="0.3">
      <c r="B747" s="4" t="s">
        <v>27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86600</v>
      </c>
      <c r="I747" s="5">
        <v>93000</v>
      </c>
    </row>
    <row r="748" spans="2:9" x14ac:dyDescent="0.3">
      <c r="B748" s="4" t="s">
        <v>34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20000</v>
      </c>
      <c r="I748" s="5">
        <v>0</v>
      </c>
    </row>
    <row r="749" spans="2:9" x14ac:dyDescent="0.3">
      <c r="B749" s="4" t="s">
        <v>28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220000</v>
      </c>
      <c r="I749" s="5">
        <v>0</v>
      </c>
    </row>
    <row r="750" spans="2:9" x14ac:dyDescent="0.3">
      <c r="B750" s="4" t="s">
        <v>29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1100</v>
      </c>
      <c r="I750" s="5">
        <v>1100</v>
      </c>
    </row>
    <row r="751" spans="2:9" x14ac:dyDescent="0.3">
      <c r="B751" s="4" t="s">
        <v>30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64000</v>
      </c>
      <c r="I751" s="5">
        <v>75000</v>
      </c>
    </row>
    <row r="752" spans="2:9" x14ac:dyDescent="0.3">
      <c r="B752" s="4" t="s">
        <v>31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105200</v>
      </c>
      <c r="I752" s="5">
        <v>103660</v>
      </c>
    </row>
    <row r="753" spans="2:9" ht="15.6" x14ac:dyDescent="0.3">
      <c r="B753" s="18" t="s">
        <v>32</v>
      </c>
      <c r="C753" s="18"/>
      <c r="D753" s="7">
        <f>SUM(D735:D752)</f>
        <v>0</v>
      </c>
      <c r="E753" s="8"/>
      <c r="F753" s="7">
        <f>SUM(F735:F752)</f>
        <v>0</v>
      </c>
      <c r="G753" s="7">
        <f>SUM(G735:G752)</f>
        <v>0</v>
      </c>
      <c r="H753" s="6"/>
      <c r="I753" s="6"/>
    </row>
    <row r="755" spans="2:9" ht="15.6" x14ac:dyDescent="0.3">
      <c r="B755" s="17" t="s">
        <v>84</v>
      </c>
      <c r="C755" s="17"/>
      <c r="D755" s="17"/>
    </row>
    <row r="756" spans="2:9" x14ac:dyDescent="0.3">
      <c r="B756" s="4" t="s">
        <v>17</v>
      </c>
      <c r="C756" s="5">
        <v>70</v>
      </c>
      <c r="D756" s="5">
        <v>17780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</row>
    <row r="757" spans="2:9" x14ac:dyDescent="0.3">
      <c r="B757" s="4" t="s">
        <v>18</v>
      </c>
      <c r="C757" s="5">
        <v>7870</v>
      </c>
      <c r="D757" s="5">
        <v>3144155</v>
      </c>
      <c r="E757" s="5">
        <v>0</v>
      </c>
      <c r="F757" s="5">
        <v>0</v>
      </c>
      <c r="G757" s="5">
        <v>0</v>
      </c>
      <c r="H757" s="5">
        <v>6000</v>
      </c>
      <c r="I757" s="5">
        <v>0</v>
      </c>
    </row>
    <row r="758" spans="2:9" x14ac:dyDescent="0.3">
      <c r="B758" s="4" t="s">
        <v>20</v>
      </c>
      <c r="C758" s="5">
        <v>142100</v>
      </c>
      <c r="D758" s="5">
        <v>2028722</v>
      </c>
      <c r="E758" s="5">
        <v>0</v>
      </c>
      <c r="F758" s="5">
        <v>0</v>
      </c>
      <c r="G758" s="5">
        <v>0</v>
      </c>
      <c r="H758" s="5">
        <v>150000</v>
      </c>
      <c r="I758" s="5">
        <v>0</v>
      </c>
    </row>
    <row r="759" spans="2:9" x14ac:dyDescent="0.3">
      <c r="B759" s="4" t="s">
        <v>21</v>
      </c>
      <c r="C759" s="5">
        <v>129040</v>
      </c>
      <c r="D759" s="5">
        <v>48960688</v>
      </c>
      <c r="E759" s="5">
        <v>54823</v>
      </c>
      <c r="F759" s="5">
        <v>19081713</v>
      </c>
      <c r="G759" s="5">
        <v>2568510</v>
      </c>
      <c r="H759" s="5">
        <v>77150</v>
      </c>
      <c r="I759" s="5">
        <v>5000</v>
      </c>
    </row>
    <row r="760" spans="2:9" x14ac:dyDescent="0.3">
      <c r="B760" s="4" t="s">
        <v>22</v>
      </c>
      <c r="C760" s="5">
        <v>2760</v>
      </c>
      <c r="D760" s="5">
        <v>1227090</v>
      </c>
      <c r="E760" s="5">
        <v>1040</v>
      </c>
      <c r="F760" s="5">
        <v>482100</v>
      </c>
      <c r="G760" s="5">
        <v>0</v>
      </c>
      <c r="H760" s="5">
        <v>1700</v>
      </c>
      <c r="I760" s="5">
        <v>500</v>
      </c>
    </row>
    <row r="761" spans="2:9" x14ac:dyDescent="0.3">
      <c r="B761" s="4" t="s">
        <v>23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16610000</v>
      </c>
      <c r="I761" s="5">
        <v>48387990</v>
      </c>
    </row>
    <row r="762" spans="2:9" x14ac:dyDescent="0.3">
      <c r="B762" s="4" t="s">
        <v>26</v>
      </c>
      <c r="C762" s="5">
        <v>5490</v>
      </c>
      <c r="D762" s="5">
        <v>452078</v>
      </c>
      <c r="E762" s="5">
        <v>37610</v>
      </c>
      <c r="F762" s="5">
        <v>2713777</v>
      </c>
      <c r="G762" s="5">
        <v>904640</v>
      </c>
      <c r="H762" s="5">
        <v>5000</v>
      </c>
      <c r="I762" s="5">
        <v>46000</v>
      </c>
    </row>
    <row r="763" spans="2:9" x14ac:dyDescent="0.3">
      <c r="B763" s="4" t="s">
        <v>27</v>
      </c>
      <c r="C763" s="5">
        <v>4664</v>
      </c>
      <c r="D763" s="5">
        <v>334893</v>
      </c>
      <c r="E763" s="5">
        <v>4023</v>
      </c>
      <c r="F763" s="5">
        <v>341560</v>
      </c>
      <c r="G763" s="5">
        <v>0</v>
      </c>
      <c r="H763" s="5">
        <v>0</v>
      </c>
      <c r="I763" s="5">
        <v>0</v>
      </c>
    </row>
    <row r="764" spans="2:9" x14ac:dyDescent="0.3">
      <c r="B764" s="4" t="s">
        <v>34</v>
      </c>
      <c r="C764" s="5">
        <v>8940</v>
      </c>
      <c r="D764" s="5">
        <v>26014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</row>
    <row r="765" spans="2:9" x14ac:dyDescent="0.3">
      <c r="B765" s="4" t="s">
        <v>28</v>
      </c>
      <c r="C765" s="5">
        <v>11000</v>
      </c>
      <c r="D765" s="5">
        <v>22000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</row>
    <row r="766" spans="2:9" x14ac:dyDescent="0.3">
      <c r="B766" s="4" t="s">
        <v>30</v>
      </c>
      <c r="C766" s="5">
        <v>200</v>
      </c>
      <c r="D766" s="5">
        <v>1960</v>
      </c>
      <c r="E766" s="5">
        <v>2800</v>
      </c>
      <c r="F766" s="5">
        <v>0</v>
      </c>
      <c r="G766" s="5">
        <v>39200</v>
      </c>
      <c r="H766" s="5">
        <v>0</v>
      </c>
      <c r="I766" s="5">
        <v>3000</v>
      </c>
    </row>
    <row r="767" spans="2:9" x14ac:dyDescent="0.3">
      <c r="B767" s="4" t="s">
        <v>31</v>
      </c>
      <c r="C767" s="5">
        <v>21205</v>
      </c>
      <c r="D767" s="5">
        <v>7503735</v>
      </c>
      <c r="E767" s="5">
        <v>19381</v>
      </c>
      <c r="F767" s="5">
        <v>6312125</v>
      </c>
      <c r="G767" s="5">
        <v>824615</v>
      </c>
      <c r="H767" s="5">
        <v>13160</v>
      </c>
      <c r="I767" s="5">
        <v>10000</v>
      </c>
    </row>
    <row r="768" spans="2:9" ht="15.6" x14ac:dyDescent="0.3">
      <c r="B768" s="18" t="s">
        <v>32</v>
      </c>
      <c r="C768" s="18"/>
      <c r="D768" s="7">
        <f>SUM(D756:D767)</f>
        <v>63719115</v>
      </c>
      <c r="E768" s="8"/>
      <c r="F768" s="7">
        <f>SUM(F756:F767)</f>
        <v>28931275</v>
      </c>
      <c r="G768" s="7">
        <f>SUM(G756:G767)</f>
        <v>4336965</v>
      </c>
      <c r="H768" s="6"/>
      <c r="I768" s="6"/>
    </row>
    <row r="770" spans="2:9" ht="15.6" x14ac:dyDescent="0.3">
      <c r="B770" s="17" t="s">
        <v>85</v>
      </c>
      <c r="C770" s="17"/>
      <c r="D770" s="17"/>
    </row>
    <row r="771" spans="2:9" x14ac:dyDescent="0.3">
      <c r="B771" s="4" t="s">
        <v>18</v>
      </c>
      <c r="C771" s="5">
        <v>9860</v>
      </c>
      <c r="D771" s="5">
        <v>3954470</v>
      </c>
      <c r="E771" s="5">
        <v>250</v>
      </c>
      <c r="F771" s="5">
        <v>20950</v>
      </c>
      <c r="G771" s="5">
        <v>83400</v>
      </c>
      <c r="H771" s="5">
        <v>7000</v>
      </c>
      <c r="I771" s="5">
        <v>0</v>
      </c>
    </row>
    <row r="772" spans="2:9" x14ac:dyDescent="0.3">
      <c r="B772" s="4" t="s">
        <v>19</v>
      </c>
      <c r="C772" s="5">
        <v>20</v>
      </c>
      <c r="D772" s="5">
        <v>804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</row>
    <row r="773" spans="2:9" x14ac:dyDescent="0.3">
      <c r="B773" s="4" t="s">
        <v>20</v>
      </c>
      <c r="C773" s="5">
        <v>2100</v>
      </c>
      <c r="D773" s="5">
        <v>29540</v>
      </c>
      <c r="E773" s="5">
        <v>4100</v>
      </c>
      <c r="F773" s="5">
        <v>1740</v>
      </c>
      <c r="G773" s="5">
        <v>69320</v>
      </c>
      <c r="H773" s="5">
        <v>0</v>
      </c>
      <c r="I773" s="5">
        <v>0</v>
      </c>
    </row>
    <row r="774" spans="2:9" x14ac:dyDescent="0.3">
      <c r="B774" s="4" t="s">
        <v>21</v>
      </c>
      <c r="C774" s="5">
        <v>45568</v>
      </c>
      <c r="D774" s="5">
        <v>17307493</v>
      </c>
      <c r="E774" s="5">
        <v>25740</v>
      </c>
      <c r="F774" s="5">
        <v>7538175</v>
      </c>
      <c r="G774" s="5">
        <v>2590305</v>
      </c>
      <c r="H774" s="5">
        <v>17000</v>
      </c>
      <c r="I774" s="5">
        <v>2000</v>
      </c>
    </row>
    <row r="775" spans="2:9" x14ac:dyDescent="0.3">
      <c r="B775" s="4" t="s">
        <v>22</v>
      </c>
      <c r="C775" s="5">
        <v>380</v>
      </c>
      <c r="D775" s="5">
        <v>167176</v>
      </c>
      <c r="E775" s="5">
        <v>280</v>
      </c>
      <c r="F775" s="5">
        <v>0</v>
      </c>
      <c r="G775" s="5">
        <v>129215</v>
      </c>
      <c r="H775" s="5">
        <v>800</v>
      </c>
      <c r="I775" s="5">
        <v>0</v>
      </c>
    </row>
    <row r="776" spans="2:9" x14ac:dyDescent="0.3">
      <c r="B776" s="4" t="s">
        <v>23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3000000</v>
      </c>
      <c r="I776" s="5">
        <v>15819750</v>
      </c>
    </row>
    <row r="777" spans="2:9" x14ac:dyDescent="0.3">
      <c r="B777" s="4" t="s">
        <v>26</v>
      </c>
      <c r="C777" s="5">
        <v>1470</v>
      </c>
      <c r="D777" s="5">
        <v>121205</v>
      </c>
      <c r="E777" s="5">
        <v>3990</v>
      </c>
      <c r="F777" s="5">
        <v>277421</v>
      </c>
      <c r="G777" s="5">
        <v>106190</v>
      </c>
      <c r="H777" s="5">
        <v>5000</v>
      </c>
      <c r="I777" s="5">
        <v>8000</v>
      </c>
    </row>
    <row r="778" spans="2:9" x14ac:dyDescent="0.3">
      <c r="B778" s="4" t="s">
        <v>27</v>
      </c>
      <c r="C778" s="5">
        <v>8557</v>
      </c>
      <c r="D778" s="5">
        <v>610879</v>
      </c>
      <c r="E778" s="5">
        <v>12895</v>
      </c>
      <c r="F778" s="5">
        <v>879712</v>
      </c>
      <c r="G778" s="5">
        <v>215235</v>
      </c>
      <c r="H778" s="5">
        <v>3000</v>
      </c>
      <c r="I778" s="5">
        <v>3600</v>
      </c>
    </row>
    <row r="779" spans="2:9" x14ac:dyDescent="0.3">
      <c r="B779" s="4" t="s">
        <v>34</v>
      </c>
      <c r="C779" s="5">
        <v>0</v>
      </c>
      <c r="D779" s="5">
        <v>0</v>
      </c>
      <c r="E779" s="5">
        <v>5080</v>
      </c>
      <c r="F779" s="5">
        <v>20575</v>
      </c>
      <c r="G779" s="5">
        <v>0</v>
      </c>
      <c r="H779" s="5">
        <v>0</v>
      </c>
      <c r="I779" s="5">
        <v>0</v>
      </c>
    </row>
    <row r="780" spans="2:9" x14ac:dyDescent="0.3">
      <c r="B780" s="4" t="s">
        <v>30</v>
      </c>
      <c r="C780" s="5">
        <v>0</v>
      </c>
      <c r="D780" s="5">
        <v>0</v>
      </c>
      <c r="E780" s="5">
        <v>1500</v>
      </c>
      <c r="F780" s="5">
        <v>21000</v>
      </c>
      <c r="G780" s="5">
        <v>0</v>
      </c>
      <c r="H780" s="5">
        <v>0</v>
      </c>
      <c r="I780" s="5">
        <v>5000</v>
      </c>
    </row>
    <row r="781" spans="2:9" x14ac:dyDescent="0.3">
      <c r="B781" s="4" t="s">
        <v>53</v>
      </c>
      <c r="C781" s="5">
        <v>0</v>
      </c>
      <c r="D781" s="5">
        <v>0</v>
      </c>
      <c r="E781" s="5">
        <v>92</v>
      </c>
      <c r="F781" s="5">
        <v>1380</v>
      </c>
      <c r="G781" s="5">
        <v>0</v>
      </c>
      <c r="H781" s="5">
        <v>0</v>
      </c>
      <c r="I781" s="5">
        <v>0</v>
      </c>
    </row>
    <row r="782" spans="2:9" x14ac:dyDescent="0.3">
      <c r="B782" s="4" t="s">
        <v>31</v>
      </c>
      <c r="C782" s="5">
        <v>9760</v>
      </c>
      <c r="D782" s="5">
        <v>3432838</v>
      </c>
      <c r="E782" s="5">
        <v>4368</v>
      </c>
      <c r="F782" s="5">
        <v>1429937</v>
      </c>
      <c r="G782" s="5">
        <v>185120</v>
      </c>
      <c r="H782" s="5">
        <v>5500</v>
      </c>
      <c r="I782" s="5">
        <v>0</v>
      </c>
    </row>
    <row r="783" spans="2:9" ht="15.6" x14ac:dyDescent="0.3">
      <c r="B783" s="18" t="s">
        <v>32</v>
      </c>
      <c r="C783" s="18"/>
      <c r="D783" s="7">
        <f>SUM(D771:D782)</f>
        <v>25624405</v>
      </c>
      <c r="E783" s="8"/>
      <c r="F783" s="7">
        <f>SUM(F771:F782)</f>
        <v>10190890</v>
      </c>
      <c r="G783" s="7">
        <f>SUM(G771:G782)</f>
        <v>3378785</v>
      </c>
      <c r="H783" s="6"/>
      <c r="I783" s="6"/>
    </row>
    <row r="785" spans="2:9" ht="15.6" x14ac:dyDescent="0.3">
      <c r="B785" s="17" t="s">
        <v>86</v>
      </c>
      <c r="C785" s="17"/>
      <c r="D785" s="17"/>
    </row>
    <row r="786" spans="2:9" x14ac:dyDescent="0.3">
      <c r="B786" s="4" t="s">
        <v>16</v>
      </c>
      <c r="C786" s="5">
        <v>270</v>
      </c>
      <c r="D786" s="5">
        <v>15876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</row>
    <row r="787" spans="2:9" x14ac:dyDescent="0.3">
      <c r="B787" s="4" t="s">
        <v>18</v>
      </c>
      <c r="C787" s="5">
        <v>13720</v>
      </c>
      <c r="D787" s="5">
        <v>5479446</v>
      </c>
      <c r="E787" s="5">
        <v>820</v>
      </c>
      <c r="F787" s="5">
        <v>342760</v>
      </c>
      <c r="G787" s="5">
        <v>0</v>
      </c>
      <c r="H787" s="5">
        <v>12500</v>
      </c>
      <c r="I787" s="5">
        <v>0</v>
      </c>
    </row>
    <row r="788" spans="2:9" x14ac:dyDescent="0.3">
      <c r="B788" s="4" t="s">
        <v>20</v>
      </c>
      <c r="C788" s="5">
        <v>48600</v>
      </c>
      <c r="D788" s="5">
        <v>688558</v>
      </c>
      <c r="E788" s="5">
        <v>0</v>
      </c>
      <c r="F788" s="5">
        <v>0</v>
      </c>
      <c r="G788" s="5">
        <v>0</v>
      </c>
      <c r="H788" s="5">
        <v>50000</v>
      </c>
      <c r="I788" s="5">
        <v>0</v>
      </c>
    </row>
    <row r="789" spans="2:9" x14ac:dyDescent="0.3">
      <c r="B789" s="4" t="s">
        <v>21</v>
      </c>
      <c r="C789" s="5">
        <v>178095</v>
      </c>
      <c r="D789" s="5">
        <v>67652784</v>
      </c>
      <c r="E789" s="5">
        <v>90383</v>
      </c>
      <c r="F789" s="5">
        <v>29306499</v>
      </c>
      <c r="G789" s="5">
        <v>6346981</v>
      </c>
      <c r="H789" s="5">
        <v>125500</v>
      </c>
      <c r="I789" s="5">
        <v>27000</v>
      </c>
    </row>
    <row r="790" spans="2:9" x14ac:dyDescent="0.3">
      <c r="B790" s="4" t="s">
        <v>22</v>
      </c>
      <c r="C790" s="5">
        <v>20065</v>
      </c>
      <c r="D790" s="5">
        <v>8911495</v>
      </c>
      <c r="E790" s="5">
        <v>4820</v>
      </c>
      <c r="F790" s="5">
        <v>1612350</v>
      </c>
      <c r="G790" s="5">
        <v>623600</v>
      </c>
      <c r="H790" s="5">
        <v>18500</v>
      </c>
      <c r="I790" s="5">
        <v>3500</v>
      </c>
    </row>
    <row r="791" spans="2:9" x14ac:dyDescent="0.3">
      <c r="B791" s="4" t="s">
        <v>23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17900000</v>
      </c>
      <c r="I791" s="5">
        <v>72925690</v>
      </c>
    </row>
    <row r="792" spans="2:9" x14ac:dyDescent="0.3">
      <c r="B792" s="4" t="s">
        <v>26</v>
      </c>
      <c r="C792" s="5">
        <v>1220</v>
      </c>
      <c r="D792" s="5">
        <v>100657</v>
      </c>
      <c r="E792" s="5">
        <v>16820</v>
      </c>
      <c r="F792" s="5">
        <v>1417121</v>
      </c>
      <c r="G792" s="5">
        <v>204390</v>
      </c>
      <c r="H792" s="5">
        <v>0</v>
      </c>
      <c r="I792" s="5">
        <v>20000</v>
      </c>
    </row>
    <row r="793" spans="2:9" x14ac:dyDescent="0.3">
      <c r="B793" s="4" t="s">
        <v>27</v>
      </c>
      <c r="C793" s="5">
        <v>21423</v>
      </c>
      <c r="D793" s="5">
        <v>1531421</v>
      </c>
      <c r="E793" s="5">
        <v>15220</v>
      </c>
      <c r="F793" s="5">
        <v>1276140</v>
      </c>
      <c r="G793" s="5">
        <v>12925</v>
      </c>
      <c r="H793" s="5">
        <v>5000</v>
      </c>
      <c r="I793" s="5">
        <v>8000</v>
      </c>
    </row>
    <row r="794" spans="2:9" x14ac:dyDescent="0.3">
      <c r="B794" s="4" t="s">
        <v>28</v>
      </c>
      <c r="C794" s="5">
        <v>10000</v>
      </c>
      <c r="D794" s="5">
        <v>20000</v>
      </c>
      <c r="E794" s="5">
        <v>5000</v>
      </c>
      <c r="F794" s="5">
        <v>25000</v>
      </c>
      <c r="G794" s="5">
        <v>0</v>
      </c>
      <c r="H794" s="5">
        <v>0</v>
      </c>
      <c r="I794" s="5">
        <v>0</v>
      </c>
    </row>
    <row r="795" spans="2:9" x14ac:dyDescent="0.3">
      <c r="B795" s="4" t="s">
        <v>31</v>
      </c>
      <c r="C795" s="5">
        <v>26587</v>
      </c>
      <c r="D795" s="5">
        <v>9353598</v>
      </c>
      <c r="E795" s="5">
        <v>20711</v>
      </c>
      <c r="F795" s="5">
        <v>6271715</v>
      </c>
      <c r="G795" s="5">
        <v>1351354</v>
      </c>
      <c r="H795" s="5">
        <v>20500</v>
      </c>
      <c r="I795" s="5">
        <v>17000</v>
      </c>
    </row>
    <row r="796" spans="2:9" ht="15.6" x14ac:dyDescent="0.3">
      <c r="B796" s="18" t="s">
        <v>32</v>
      </c>
      <c r="C796" s="18"/>
      <c r="D796" s="7">
        <f>SUM(D786:D795)</f>
        <v>93753835</v>
      </c>
      <c r="E796" s="8"/>
      <c r="F796" s="7">
        <f>SUM(F786:F795)</f>
        <v>40251585</v>
      </c>
      <c r="G796" s="7">
        <f>SUM(G786:G795)</f>
        <v>8539250</v>
      </c>
      <c r="H796" s="6"/>
      <c r="I796" s="6"/>
    </row>
    <row r="798" spans="2:9" ht="15.6" x14ac:dyDescent="0.3">
      <c r="B798" s="17" t="s">
        <v>87</v>
      </c>
      <c r="C798" s="17"/>
      <c r="D798" s="17"/>
    </row>
    <row r="799" spans="2:9" x14ac:dyDescent="0.3">
      <c r="B799" s="4" t="s">
        <v>38</v>
      </c>
      <c r="C799" s="5">
        <v>10</v>
      </c>
      <c r="D799" s="5">
        <v>1885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</row>
    <row r="800" spans="2:9" x14ac:dyDescent="0.3">
      <c r="B800" s="4" t="s">
        <v>17</v>
      </c>
      <c r="C800" s="5">
        <v>100</v>
      </c>
      <c r="D800" s="5">
        <v>25630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</row>
    <row r="801" spans="2:9" x14ac:dyDescent="0.3">
      <c r="B801" s="4" t="s">
        <v>18</v>
      </c>
      <c r="C801" s="5">
        <v>20450</v>
      </c>
      <c r="D801" s="5">
        <v>8275603</v>
      </c>
      <c r="E801" s="5">
        <v>1030</v>
      </c>
      <c r="F801" s="5">
        <v>423728</v>
      </c>
      <c r="G801" s="5">
        <v>0</v>
      </c>
      <c r="H801" s="5">
        <v>20000</v>
      </c>
      <c r="I801" s="5">
        <v>0</v>
      </c>
    </row>
    <row r="802" spans="2:9" x14ac:dyDescent="0.3">
      <c r="B802" s="4" t="s">
        <v>20</v>
      </c>
      <c r="C802" s="5">
        <v>6400</v>
      </c>
      <c r="D802" s="5">
        <v>93520</v>
      </c>
      <c r="E802" s="5">
        <v>5600</v>
      </c>
      <c r="F802" s="5">
        <v>96165</v>
      </c>
      <c r="G802" s="5">
        <v>0</v>
      </c>
      <c r="H802" s="5">
        <v>10000</v>
      </c>
      <c r="I802" s="5">
        <v>0</v>
      </c>
    </row>
    <row r="803" spans="2:9" x14ac:dyDescent="0.3">
      <c r="B803" s="4" t="s">
        <v>21</v>
      </c>
      <c r="C803" s="5">
        <v>285447</v>
      </c>
      <c r="D803" s="5">
        <v>109086349</v>
      </c>
      <c r="E803" s="5">
        <v>67326</v>
      </c>
      <c r="F803" s="5">
        <v>26168026</v>
      </c>
      <c r="G803" s="5">
        <v>0</v>
      </c>
      <c r="H803" s="5">
        <v>219000</v>
      </c>
      <c r="I803" s="5">
        <v>0</v>
      </c>
    </row>
    <row r="804" spans="2:9" x14ac:dyDescent="0.3">
      <c r="B804" s="4" t="s">
        <v>22</v>
      </c>
      <c r="C804" s="5">
        <v>5040</v>
      </c>
      <c r="D804" s="5">
        <v>2260266</v>
      </c>
      <c r="E804" s="5">
        <v>19965</v>
      </c>
      <c r="F804" s="5">
        <v>9086357</v>
      </c>
      <c r="G804" s="5">
        <v>0</v>
      </c>
      <c r="H804" s="5">
        <v>4500</v>
      </c>
      <c r="I804" s="5">
        <v>19600</v>
      </c>
    </row>
    <row r="805" spans="2:9" x14ac:dyDescent="0.3">
      <c r="B805" s="4" t="s">
        <v>23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3800000</v>
      </c>
      <c r="I805" s="5">
        <v>87829790</v>
      </c>
    </row>
    <row r="806" spans="2:9" x14ac:dyDescent="0.3">
      <c r="B806" s="4" t="s">
        <v>24</v>
      </c>
      <c r="C806" s="5">
        <v>0</v>
      </c>
      <c r="D806" s="5">
        <v>0</v>
      </c>
      <c r="E806" s="5">
        <v>16000</v>
      </c>
      <c r="F806" s="5">
        <v>39840</v>
      </c>
      <c r="G806" s="5">
        <v>0</v>
      </c>
      <c r="H806" s="5">
        <v>0</v>
      </c>
      <c r="I806" s="5">
        <v>0</v>
      </c>
    </row>
    <row r="807" spans="2:9" x14ac:dyDescent="0.3">
      <c r="B807" s="4" t="s">
        <v>25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1000</v>
      </c>
      <c r="I807" s="5">
        <v>0</v>
      </c>
    </row>
    <row r="808" spans="2:9" x14ac:dyDescent="0.3">
      <c r="B808" s="4" t="s">
        <v>26</v>
      </c>
      <c r="C808" s="5">
        <v>6580</v>
      </c>
      <c r="D808" s="5">
        <v>582827</v>
      </c>
      <c r="E808" s="5">
        <v>41010</v>
      </c>
      <c r="F808" s="5">
        <v>3827736</v>
      </c>
      <c r="G808" s="5">
        <v>0</v>
      </c>
      <c r="H808" s="5">
        <v>0</v>
      </c>
      <c r="I808" s="5">
        <v>44500</v>
      </c>
    </row>
    <row r="809" spans="2:9" x14ac:dyDescent="0.3">
      <c r="B809" s="4" t="s">
        <v>27</v>
      </c>
      <c r="C809" s="5">
        <v>64118</v>
      </c>
      <c r="D809" s="5">
        <v>4795057</v>
      </c>
      <c r="E809" s="5">
        <v>9770</v>
      </c>
      <c r="F809" s="5">
        <v>773613</v>
      </c>
      <c r="G809" s="5">
        <v>0</v>
      </c>
      <c r="H809" s="5">
        <v>65000</v>
      </c>
      <c r="I809" s="5">
        <v>0</v>
      </c>
    </row>
    <row r="810" spans="2:9" x14ac:dyDescent="0.3">
      <c r="B810" s="4" t="s">
        <v>34</v>
      </c>
      <c r="C810" s="5">
        <v>1630</v>
      </c>
      <c r="D810" s="5">
        <v>4890</v>
      </c>
      <c r="E810" s="5">
        <v>19420</v>
      </c>
      <c r="F810" s="5">
        <v>78650</v>
      </c>
      <c r="G810" s="5">
        <v>0</v>
      </c>
      <c r="H810" s="5">
        <v>0</v>
      </c>
      <c r="I810" s="5">
        <v>0</v>
      </c>
    </row>
    <row r="811" spans="2:9" x14ac:dyDescent="0.3">
      <c r="B811" s="4" t="s">
        <v>28</v>
      </c>
      <c r="C811" s="5">
        <v>0</v>
      </c>
      <c r="D811" s="5">
        <v>0</v>
      </c>
      <c r="E811" s="5">
        <v>1300</v>
      </c>
      <c r="F811" s="5">
        <v>6500</v>
      </c>
      <c r="G811" s="5">
        <v>0</v>
      </c>
      <c r="H811" s="5">
        <v>0</v>
      </c>
      <c r="I811" s="5">
        <v>0</v>
      </c>
    </row>
    <row r="812" spans="2:9" x14ac:dyDescent="0.3">
      <c r="B812" s="4" t="s">
        <v>30</v>
      </c>
      <c r="C812" s="5">
        <v>0</v>
      </c>
      <c r="D812" s="5">
        <v>0</v>
      </c>
      <c r="E812" s="5">
        <v>20735</v>
      </c>
      <c r="F812" s="5">
        <v>289890</v>
      </c>
      <c r="G812" s="5">
        <v>0</v>
      </c>
      <c r="H812" s="5">
        <v>0</v>
      </c>
      <c r="I812" s="5">
        <v>24000</v>
      </c>
    </row>
    <row r="813" spans="2:9" x14ac:dyDescent="0.3">
      <c r="B813" s="4" t="s">
        <v>31</v>
      </c>
      <c r="C813" s="5">
        <v>20648</v>
      </c>
      <c r="D813" s="5">
        <v>7277463</v>
      </c>
      <c r="E813" s="5">
        <v>16952</v>
      </c>
      <c r="F813" s="5">
        <v>6131085</v>
      </c>
      <c r="G813" s="5">
        <v>0</v>
      </c>
      <c r="H813" s="5">
        <v>11000</v>
      </c>
      <c r="I813" s="5">
        <v>6500</v>
      </c>
    </row>
    <row r="814" spans="2:9" ht="15.6" x14ac:dyDescent="0.3">
      <c r="B814" s="18" t="s">
        <v>32</v>
      </c>
      <c r="C814" s="18"/>
      <c r="D814" s="7">
        <f>SUM(D799:D813)</f>
        <v>132403490</v>
      </c>
      <c r="E814" s="8"/>
      <c r="F814" s="7">
        <f>SUM(F799:F813)</f>
        <v>46921590</v>
      </c>
      <c r="G814" s="7">
        <f>SUM(G799:G813)</f>
        <v>0</v>
      </c>
      <c r="H814" s="6"/>
      <c r="I814" s="6"/>
    </row>
    <row r="816" spans="2:9" ht="15.6" x14ac:dyDescent="0.3">
      <c r="B816" s="17" t="s">
        <v>88</v>
      </c>
      <c r="C816" s="17"/>
      <c r="D816" s="17"/>
    </row>
    <row r="817" spans="2:9" x14ac:dyDescent="0.3">
      <c r="B817" s="4" t="s">
        <v>15</v>
      </c>
      <c r="C817" s="5">
        <v>0</v>
      </c>
      <c r="D817" s="5">
        <v>0</v>
      </c>
      <c r="E817" s="5">
        <v>955</v>
      </c>
      <c r="F817" s="5">
        <v>229905</v>
      </c>
      <c r="G817" s="5">
        <v>0</v>
      </c>
      <c r="H817" s="5">
        <v>0</v>
      </c>
      <c r="I817" s="5">
        <v>800</v>
      </c>
    </row>
    <row r="818" spans="2:9" x14ac:dyDescent="0.3">
      <c r="B818" s="4" t="s">
        <v>38</v>
      </c>
      <c r="C818" s="5">
        <v>0</v>
      </c>
      <c r="D818" s="5">
        <v>0</v>
      </c>
      <c r="E818" s="5">
        <v>472</v>
      </c>
      <c r="F818" s="5">
        <v>98570</v>
      </c>
      <c r="G818" s="5">
        <v>0</v>
      </c>
      <c r="H818" s="5">
        <v>0</v>
      </c>
      <c r="I818" s="5">
        <v>1000</v>
      </c>
    </row>
    <row r="819" spans="2:9" x14ac:dyDescent="0.3">
      <c r="B819" s="4" t="s">
        <v>16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838</v>
      </c>
      <c r="I819" s="5">
        <v>0</v>
      </c>
    </row>
    <row r="820" spans="2:9" x14ac:dyDescent="0.3">
      <c r="B820" s="4" t="s">
        <v>17</v>
      </c>
      <c r="C820" s="5">
        <v>100</v>
      </c>
      <c r="D820" s="5">
        <v>25630</v>
      </c>
      <c r="E820" s="5">
        <v>0</v>
      </c>
      <c r="F820" s="5">
        <v>0</v>
      </c>
      <c r="G820" s="5">
        <v>0</v>
      </c>
      <c r="H820" s="5">
        <v>0</v>
      </c>
      <c r="I820" s="5">
        <v>1000</v>
      </c>
    </row>
    <row r="821" spans="2:9" x14ac:dyDescent="0.3">
      <c r="B821" s="4" t="s">
        <v>18</v>
      </c>
      <c r="C821" s="5">
        <v>3980</v>
      </c>
      <c r="D821" s="5">
        <v>1609085</v>
      </c>
      <c r="E821" s="5">
        <v>0</v>
      </c>
      <c r="F821" s="5">
        <v>0</v>
      </c>
      <c r="G821" s="5">
        <v>0</v>
      </c>
      <c r="H821" s="5">
        <v>3000</v>
      </c>
      <c r="I821" s="5">
        <v>0</v>
      </c>
    </row>
    <row r="822" spans="2:9" x14ac:dyDescent="0.3">
      <c r="B822" s="4" t="s">
        <v>20</v>
      </c>
      <c r="C822" s="5">
        <v>1900</v>
      </c>
      <c r="D822" s="5">
        <v>27791</v>
      </c>
      <c r="E822" s="5">
        <v>11000</v>
      </c>
      <c r="F822" s="5">
        <v>188690</v>
      </c>
      <c r="G822" s="5">
        <v>0</v>
      </c>
      <c r="H822" s="5">
        <v>0</v>
      </c>
      <c r="I822" s="5">
        <v>10000</v>
      </c>
    </row>
    <row r="823" spans="2:9" x14ac:dyDescent="0.3">
      <c r="B823" s="4" t="s">
        <v>21</v>
      </c>
      <c r="C823" s="5">
        <v>142578</v>
      </c>
      <c r="D823" s="5">
        <v>54965613</v>
      </c>
      <c r="E823" s="5">
        <v>18708</v>
      </c>
      <c r="F823" s="5">
        <v>7284023</v>
      </c>
      <c r="G823" s="5">
        <v>0</v>
      </c>
      <c r="H823" s="5">
        <v>128000</v>
      </c>
      <c r="I823" s="5">
        <v>1700</v>
      </c>
    </row>
    <row r="824" spans="2:9" x14ac:dyDescent="0.3">
      <c r="B824" s="4" t="s">
        <v>22</v>
      </c>
      <c r="C824" s="5">
        <v>1845</v>
      </c>
      <c r="D824" s="5">
        <v>824470</v>
      </c>
      <c r="E824" s="5">
        <v>9835</v>
      </c>
      <c r="F824" s="5">
        <v>4486440</v>
      </c>
      <c r="G824" s="5">
        <v>0</v>
      </c>
      <c r="H824" s="5">
        <v>4000</v>
      </c>
      <c r="I824" s="5">
        <v>12000</v>
      </c>
    </row>
    <row r="825" spans="2:9" x14ac:dyDescent="0.3">
      <c r="B825" s="4" t="s">
        <v>23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1000000</v>
      </c>
      <c r="I825" s="5">
        <v>46350000</v>
      </c>
    </row>
    <row r="826" spans="2:9" x14ac:dyDescent="0.3">
      <c r="B826" s="4" t="s">
        <v>24</v>
      </c>
      <c r="C826" s="5">
        <v>0</v>
      </c>
      <c r="D826" s="5">
        <v>0</v>
      </c>
      <c r="E826" s="5">
        <v>5000</v>
      </c>
      <c r="F826" s="5">
        <v>12450</v>
      </c>
      <c r="G826" s="5">
        <v>0</v>
      </c>
      <c r="H826" s="5">
        <v>0</v>
      </c>
      <c r="I826" s="5">
        <v>0</v>
      </c>
    </row>
    <row r="827" spans="2:9" x14ac:dyDescent="0.3">
      <c r="B827" s="4" t="s">
        <v>25</v>
      </c>
      <c r="C827" s="5">
        <v>0</v>
      </c>
      <c r="D827" s="5">
        <v>0</v>
      </c>
      <c r="E827" s="5">
        <v>1000</v>
      </c>
      <c r="F827" s="5">
        <v>229900</v>
      </c>
      <c r="G827" s="5">
        <v>0</v>
      </c>
      <c r="H827" s="5">
        <v>0</v>
      </c>
      <c r="I827" s="5">
        <v>1000</v>
      </c>
    </row>
    <row r="828" spans="2:9" x14ac:dyDescent="0.3">
      <c r="B828" s="4" t="s">
        <v>26</v>
      </c>
      <c r="C828" s="5">
        <v>740</v>
      </c>
      <c r="D828" s="5">
        <v>65565</v>
      </c>
      <c r="E828" s="5">
        <v>39760</v>
      </c>
      <c r="F828" s="5">
        <v>3702348</v>
      </c>
      <c r="G828" s="5">
        <v>0</v>
      </c>
      <c r="H828" s="5">
        <v>0</v>
      </c>
      <c r="I828" s="5">
        <v>35000</v>
      </c>
    </row>
    <row r="829" spans="2:9" x14ac:dyDescent="0.3">
      <c r="B829" s="4" t="s">
        <v>27</v>
      </c>
      <c r="C829" s="5">
        <v>851</v>
      </c>
      <c r="D829" s="5">
        <v>63465</v>
      </c>
      <c r="E829" s="5">
        <v>1400</v>
      </c>
      <c r="F829" s="5">
        <v>111865</v>
      </c>
      <c r="G829" s="5">
        <v>0</v>
      </c>
      <c r="H829" s="5">
        <v>0</v>
      </c>
      <c r="I829" s="5">
        <v>0</v>
      </c>
    </row>
    <row r="830" spans="2:9" x14ac:dyDescent="0.3">
      <c r="B830" s="4" t="s">
        <v>34</v>
      </c>
      <c r="C830" s="5">
        <v>13090</v>
      </c>
      <c r="D830" s="5">
        <v>39270</v>
      </c>
      <c r="E830" s="5">
        <v>6750</v>
      </c>
      <c r="F830" s="5">
        <v>27340</v>
      </c>
      <c r="G830" s="5">
        <v>0</v>
      </c>
      <c r="H830" s="5">
        <v>0</v>
      </c>
      <c r="I830" s="5">
        <v>0</v>
      </c>
    </row>
    <row r="831" spans="2:9" x14ac:dyDescent="0.3">
      <c r="B831" s="4" t="s">
        <v>28</v>
      </c>
      <c r="C831" s="5">
        <v>100</v>
      </c>
      <c r="D831" s="5">
        <v>200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</row>
    <row r="832" spans="2:9" x14ac:dyDescent="0.3">
      <c r="B832" s="4" t="s">
        <v>29</v>
      </c>
      <c r="C832" s="5">
        <v>0</v>
      </c>
      <c r="D832" s="5">
        <v>0</v>
      </c>
      <c r="E832" s="5">
        <v>1100</v>
      </c>
      <c r="F832" s="5">
        <v>15325</v>
      </c>
      <c r="G832" s="5">
        <v>0</v>
      </c>
      <c r="H832" s="5">
        <v>0</v>
      </c>
      <c r="I832" s="5">
        <v>1100</v>
      </c>
    </row>
    <row r="833" spans="2:9" x14ac:dyDescent="0.3">
      <c r="B833" s="4" t="s">
        <v>30</v>
      </c>
      <c r="C833" s="5">
        <v>220</v>
      </c>
      <c r="D833" s="5">
        <v>2370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</row>
    <row r="834" spans="2:9" x14ac:dyDescent="0.3">
      <c r="B834" s="4" t="s">
        <v>31</v>
      </c>
      <c r="C834" s="5">
        <v>13849</v>
      </c>
      <c r="D834" s="5">
        <v>4942246</v>
      </c>
      <c r="E834" s="5">
        <v>6633</v>
      </c>
      <c r="F834" s="5">
        <v>2381244</v>
      </c>
      <c r="G834" s="5">
        <v>0</v>
      </c>
      <c r="H834" s="5">
        <v>6000</v>
      </c>
      <c r="I834" s="5">
        <v>0</v>
      </c>
    </row>
    <row r="835" spans="2:9" ht="15.6" x14ac:dyDescent="0.3">
      <c r="B835" s="18" t="s">
        <v>32</v>
      </c>
      <c r="C835" s="18"/>
      <c r="D835" s="7">
        <f>SUM(D817:D834)</f>
        <v>62565705</v>
      </c>
      <c r="E835" s="8"/>
      <c r="F835" s="7">
        <f>SUM(F817:F834)</f>
        <v>18768100</v>
      </c>
      <c r="G835" s="7">
        <f>SUM(G817:G834)</f>
        <v>0</v>
      </c>
      <c r="H835" s="6"/>
      <c r="I835" s="6"/>
    </row>
    <row r="837" spans="2:9" ht="15.6" x14ac:dyDescent="0.3">
      <c r="B837" s="17" t="s">
        <v>89</v>
      </c>
      <c r="C837" s="17"/>
      <c r="D837" s="17"/>
    </row>
    <row r="838" spans="2:9" x14ac:dyDescent="0.3">
      <c r="B838" s="4" t="s">
        <v>17</v>
      </c>
      <c r="C838" s="5">
        <v>400</v>
      </c>
      <c r="D838" s="5">
        <v>101435</v>
      </c>
      <c r="E838" s="5">
        <v>0</v>
      </c>
      <c r="F838" s="5">
        <v>0</v>
      </c>
      <c r="G838" s="5">
        <v>0</v>
      </c>
      <c r="H838" s="5">
        <v>400</v>
      </c>
      <c r="I838" s="5">
        <v>0</v>
      </c>
    </row>
    <row r="839" spans="2:9" x14ac:dyDescent="0.3">
      <c r="B839" s="4" t="s">
        <v>18</v>
      </c>
      <c r="C839" s="5">
        <v>4590</v>
      </c>
      <c r="D839" s="5">
        <v>1836620</v>
      </c>
      <c r="E839" s="5">
        <v>100</v>
      </c>
      <c r="F839" s="5">
        <v>42000</v>
      </c>
      <c r="G839" s="5">
        <v>0</v>
      </c>
      <c r="H839" s="5">
        <v>2000</v>
      </c>
      <c r="I839" s="5">
        <v>0</v>
      </c>
    </row>
    <row r="840" spans="2:9" x14ac:dyDescent="0.3">
      <c r="B840" s="4" t="s">
        <v>20</v>
      </c>
      <c r="C840" s="5">
        <v>1000</v>
      </c>
      <c r="D840" s="5">
        <v>14060</v>
      </c>
      <c r="E840" s="5">
        <v>700</v>
      </c>
      <c r="F840" s="5">
        <v>12155</v>
      </c>
      <c r="G840" s="5">
        <v>0</v>
      </c>
      <c r="H840" s="5">
        <v>0</v>
      </c>
      <c r="I840" s="5">
        <v>0</v>
      </c>
    </row>
    <row r="841" spans="2:9" x14ac:dyDescent="0.3">
      <c r="B841" s="4" t="s">
        <v>21</v>
      </c>
      <c r="C841" s="5">
        <v>141025</v>
      </c>
      <c r="D841" s="5">
        <v>53523908</v>
      </c>
      <c r="E841" s="5">
        <v>30327</v>
      </c>
      <c r="F841" s="5">
        <v>10660695</v>
      </c>
      <c r="G841" s="5">
        <v>1312645</v>
      </c>
      <c r="H841" s="5">
        <v>104500</v>
      </c>
      <c r="I841" s="5">
        <v>50</v>
      </c>
    </row>
    <row r="842" spans="2:9" x14ac:dyDescent="0.3">
      <c r="B842" s="4" t="s">
        <v>22</v>
      </c>
      <c r="C842" s="5">
        <v>3675</v>
      </c>
      <c r="D842" s="5">
        <v>1630133</v>
      </c>
      <c r="E842" s="5">
        <v>2335</v>
      </c>
      <c r="F842" s="5">
        <v>889230</v>
      </c>
      <c r="G842" s="5">
        <v>192310</v>
      </c>
      <c r="H842" s="5">
        <v>1000</v>
      </c>
      <c r="I842" s="5">
        <v>0</v>
      </c>
    </row>
    <row r="843" spans="2:9" x14ac:dyDescent="0.3">
      <c r="B843" s="4" t="s">
        <v>23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6300000</v>
      </c>
      <c r="I843" s="5">
        <v>52082250</v>
      </c>
    </row>
    <row r="844" spans="2:9" x14ac:dyDescent="0.3">
      <c r="B844" s="4" t="s">
        <v>36</v>
      </c>
      <c r="C844" s="5">
        <v>140</v>
      </c>
      <c r="D844" s="5">
        <v>11978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</row>
    <row r="845" spans="2:9" x14ac:dyDescent="0.3">
      <c r="B845" s="4" t="s">
        <v>26</v>
      </c>
      <c r="C845" s="5">
        <v>9660</v>
      </c>
      <c r="D845" s="5">
        <v>800069</v>
      </c>
      <c r="E845" s="5">
        <v>32860</v>
      </c>
      <c r="F845" s="5">
        <v>2749900</v>
      </c>
      <c r="G845" s="5">
        <v>419495</v>
      </c>
      <c r="H845" s="5">
        <v>0</v>
      </c>
      <c r="I845" s="5">
        <v>33000</v>
      </c>
    </row>
    <row r="846" spans="2:9" x14ac:dyDescent="0.3">
      <c r="B846" s="4" t="s">
        <v>27</v>
      </c>
      <c r="C846" s="5">
        <v>3378</v>
      </c>
      <c r="D846" s="5">
        <v>241806</v>
      </c>
      <c r="E846" s="5">
        <v>5265</v>
      </c>
      <c r="F846" s="5">
        <v>393490</v>
      </c>
      <c r="G846" s="5">
        <v>50780</v>
      </c>
      <c r="H846" s="5">
        <v>0</v>
      </c>
      <c r="I846" s="5">
        <v>5000</v>
      </c>
    </row>
    <row r="847" spans="2:9" x14ac:dyDescent="0.3">
      <c r="B847" s="4" t="s">
        <v>28</v>
      </c>
      <c r="C847" s="5">
        <v>0</v>
      </c>
      <c r="D847" s="5">
        <v>0</v>
      </c>
      <c r="E847" s="5">
        <v>200000</v>
      </c>
      <c r="F847" s="5">
        <v>1000000</v>
      </c>
      <c r="G847" s="5">
        <v>0</v>
      </c>
      <c r="H847" s="5">
        <v>0</v>
      </c>
      <c r="I847" s="5">
        <v>220000</v>
      </c>
    </row>
    <row r="848" spans="2:9" x14ac:dyDescent="0.3">
      <c r="B848" s="4" t="s">
        <v>31</v>
      </c>
      <c r="C848" s="5">
        <v>9441</v>
      </c>
      <c r="D848" s="5">
        <v>3338241</v>
      </c>
      <c r="E848" s="5">
        <v>2401</v>
      </c>
      <c r="F848" s="5">
        <v>146985</v>
      </c>
      <c r="G848" s="5">
        <v>733480</v>
      </c>
      <c r="H848" s="5">
        <v>8000</v>
      </c>
      <c r="I848" s="5">
        <v>3000</v>
      </c>
    </row>
    <row r="849" spans="2:9" ht="15.6" x14ac:dyDescent="0.3">
      <c r="B849" s="18" t="s">
        <v>32</v>
      </c>
      <c r="C849" s="18"/>
      <c r="D849" s="7">
        <f>SUM(D838:D848)</f>
        <v>61498250</v>
      </c>
      <c r="E849" s="8"/>
      <c r="F849" s="7">
        <f>SUM(F838:F848)</f>
        <v>15894455</v>
      </c>
      <c r="G849" s="7">
        <f>SUM(G838:G848)</f>
        <v>2708710</v>
      </c>
      <c r="H849" s="6"/>
      <c r="I849" s="6"/>
    </row>
    <row r="851" spans="2:9" ht="17.399999999999999" x14ac:dyDescent="0.3">
      <c r="B851" s="22" t="s">
        <v>90</v>
      </c>
      <c r="C851" s="22"/>
      <c r="D851" s="22"/>
      <c r="E851" s="22"/>
      <c r="F851" s="22"/>
      <c r="G851" s="22"/>
      <c r="H851" s="22"/>
      <c r="I851" s="22"/>
    </row>
    <row r="852" spans="2:9" ht="15.6" x14ac:dyDescent="0.3">
      <c r="B852" s="17" t="s">
        <v>91</v>
      </c>
      <c r="C852" s="17"/>
      <c r="D852" s="17"/>
    </row>
    <row r="853" spans="2:9" x14ac:dyDescent="0.3">
      <c r="B853" s="4" t="s">
        <v>15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400</v>
      </c>
      <c r="I853" s="5">
        <v>0</v>
      </c>
    </row>
    <row r="854" spans="2:9" x14ac:dyDescent="0.3">
      <c r="B854" s="4" t="s">
        <v>38</v>
      </c>
      <c r="C854" s="5">
        <v>160</v>
      </c>
      <c r="D854" s="5">
        <v>29925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</row>
    <row r="855" spans="2:9" x14ac:dyDescent="0.3">
      <c r="B855" s="4" t="s">
        <v>18</v>
      </c>
      <c r="C855" s="5">
        <v>13000</v>
      </c>
      <c r="D855" s="5">
        <v>5256098</v>
      </c>
      <c r="E855" s="5">
        <v>600</v>
      </c>
      <c r="F855" s="5">
        <v>247500</v>
      </c>
      <c r="G855" s="5">
        <v>0</v>
      </c>
      <c r="H855" s="5">
        <v>12000</v>
      </c>
      <c r="I855" s="5">
        <v>0</v>
      </c>
    </row>
    <row r="856" spans="2:9" x14ac:dyDescent="0.3">
      <c r="B856" s="4" t="s">
        <v>20</v>
      </c>
      <c r="C856" s="5">
        <v>0</v>
      </c>
      <c r="D856" s="5">
        <v>0</v>
      </c>
      <c r="E856" s="5">
        <v>2300</v>
      </c>
      <c r="F856" s="5">
        <v>38385</v>
      </c>
      <c r="G856" s="5">
        <v>0</v>
      </c>
      <c r="H856" s="5">
        <v>0</v>
      </c>
      <c r="I856" s="5">
        <v>0</v>
      </c>
    </row>
    <row r="857" spans="2:9" x14ac:dyDescent="0.3">
      <c r="B857" s="4" t="s">
        <v>21</v>
      </c>
      <c r="C857" s="5">
        <v>131342</v>
      </c>
      <c r="D857" s="5">
        <v>50364688</v>
      </c>
      <c r="E857" s="5">
        <v>41894</v>
      </c>
      <c r="F857" s="5">
        <v>16291900</v>
      </c>
      <c r="G857" s="5">
        <v>0</v>
      </c>
      <c r="H857" s="5">
        <v>90000</v>
      </c>
      <c r="I857" s="5">
        <v>0</v>
      </c>
    </row>
    <row r="858" spans="2:9" x14ac:dyDescent="0.3">
      <c r="B858" s="4" t="s">
        <v>22</v>
      </c>
      <c r="C858" s="5">
        <v>2490</v>
      </c>
      <c r="D858" s="5">
        <v>1113905</v>
      </c>
      <c r="E858" s="5">
        <v>3090</v>
      </c>
      <c r="F858" s="5">
        <v>1418690</v>
      </c>
      <c r="G858" s="5">
        <v>0</v>
      </c>
      <c r="H858" s="5">
        <v>0</v>
      </c>
      <c r="I858" s="5">
        <v>0</v>
      </c>
    </row>
    <row r="859" spans="2:9" x14ac:dyDescent="0.3">
      <c r="B859" s="4" t="s">
        <v>23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36562190</v>
      </c>
    </row>
    <row r="860" spans="2:9" x14ac:dyDescent="0.3">
      <c r="B860" s="4" t="s">
        <v>26</v>
      </c>
      <c r="C860" s="5">
        <v>1090</v>
      </c>
      <c r="D860" s="5">
        <v>96616</v>
      </c>
      <c r="E860" s="5">
        <v>18440</v>
      </c>
      <c r="F860" s="5">
        <v>1718802</v>
      </c>
      <c r="G860" s="5">
        <v>0</v>
      </c>
      <c r="H860" s="5">
        <v>0</v>
      </c>
      <c r="I860" s="5">
        <v>18000</v>
      </c>
    </row>
    <row r="861" spans="2:9" x14ac:dyDescent="0.3">
      <c r="B861" s="4" t="s">
        <v>27</v>
      </c>
      <c r="C861" s="5">
        <v>18436</v>
      </c>
      <c r="D861" s="5">
        <v>1375364</v>
      </c>
      <c r="E861" s="5">
        <v>31985</v>
      </c>
      <c r="F861" s="5">
        <v>2525450</v>
      </c>
      <c r="G861" s="5">
        <v>0</v>
      </c>
      <c r="H861" s="5">
        <v>5000</v>
      </c>
      <c r="I861" s="5">
        <v>21000</v>
      </c>
    </row>
    <row r="862" spans="2:9" x14ac:dyDescent="0.3">
      <c r="B862" s="4" t="s">
        <v>34</v>
      </c>
      <c r="C862" s="5">
        <v>4300</v>
      </c>
      <c r="D862" s="5">
        <v>12940</v>
      </c>
      <c r="E862" s="5">
        <v>80000</v>
      </c>
      <c r="F862" s="5">
        <v>324000</v>
      </c>
      <c r="G862" s="5">
        <v>0</v>
      </c>
      <c r="H862" s="5">
        <v>0</v>
      </c>
      <c r="I862" s="5">
        <v>0</v>
      </c>
    </row>
    <row r="863" spans="2:9" x14ac:dyDescent="0.3">
      <c r="B863" s="4" t="s">
        <v>30</v>
      </c>
      <c r="C863" s="5">
        <v>280</v>
      </c>
      <c r="D863" s="5">
        <v>2744</v>
      </c>
      <c r="E863" s="5">
        <v>2800</v>
      </c>
      <c r="F863" s="5">
        <v>43120</v>
      </c>
      <c r="G863" s="5">
        <v>0</v>
      </c>
      <c r="H863" s="5">
        <v>5000</v>
      </c>
      <c r="I863" s="5">
        <v>4000</v>
      </c>
    </row>
    <row r="864" spans="2:9" x14ac:dyDescent="0.3">
      <c r="B864" s="4" t="s">
        <v>31</v>
      </c>
      <c r="C864" s="5">
        <v>9280</v>
      </c>
      <c r="D864" s="5">
        <v>3299450</v>
      </c>
      <c r="E864" s="5">
        <v>8230</v>
      </c>
      <c r="F864" s="5">
        <v>2977478</v>
      </c>
      <c r="G864" s="5">
        <v>0</v>
      </c>
      <c r="H864" s="5">
        <v>6000</v>
      </c>
      <c r="I864" s="5">
        <v>4400</v>
      </c>
    </row>
    <row r="865" spans="2:9" ht="15.6" x14ac:dyDescent="0.3">
      <c r="B865" s="18" t="s">
        <v>32</v>
      </c>
      <c r="C865" s="18"/>
      <c r="D865" s="7">
        <f>SUM(D853:D864)</f>
        <v>61551730</v>
      </c>
      <c r="E865" s="8"/>
      <c r="F865" s="7">
        <f>SUM(F853:F864)</f>
        <v>25585325</v>
      </c>
      <c r="G865" s="7">
        <f>SUM(G853:G864)</f>
        <v>0</v>
      </c>
      <c r="H865" s="6"/>
      <c r="I865" s="6"/>
    </row>
    <row r="867" spans="2:9" ht="15.6" x14ac:dyDescent="0.3">
      <c r="B867" s="17" t="s">
        <v>92</v>
      </c>
      <c r="C867" s="17"/>
      <c r="D867" s="17"/>
    </row>
    <row r="868" spans="2:9" x14ac:dyDescent="0.3">
      <c r="B868" s="4" t="s">
        <v>38</v>
      </c>
      <c r="C868" s="5">
        <v>0</v>
      </c>
      <c r="D868" s="5">
        <v>0</v>
      </c>
      <c r="E868" s="5">
        <v>100</v>
      </c>
      <c r="F868" s="5">
        <v>20845</v>
      </c>
      <c r="G868" s="5">
        <v>0</v>
      </c>
      <c r="H868" s="5">
        <v>0</v>
      </c>
      <c r="I868" s="5">
        <v>0</v>
      </c>
    </row>
    <row r="869" spans="2:9" x14ac:dyDescent="0.3">
      <c r="B869" s="4" t="s">
        <v>17</v>
      </c>
      <c r="C869" s="5">
        <v>0</v>
      </c>
      <c r="D869" s="5">
        <v>0</v>
      </c>
      <c r="E869" s="5">
        <v>180</v>
      </c>
      <c r="F869" s="5">
        <v>0</v>
      </c>
      <c r="G869" s="5">
        <v>48990</v>
      </c>
      <c r="H869" s="5">
        <v>0</v>
      </c>
      <c r="I869" s="5">
        <v>300</v>
      </c>
    </row>
    <row r="870" spans="2:9" x14ac:dyDescent="0.3">
      <c r="B870" s="4" t="s">
        <v>18</v>
      </c>
      <c r="C870" s="5">
        <v>14310</v>
      </c>
      <c r="D870" s="5">
        <v>5735527</v>
      </c>
      <c r="E870" s="5">
        <v>1100</v>
      </c>
      <c r="F870" s="5">
        <v>456820</v>
      </c>
      <c r="G870" s="5">
        <v>0</v>
      </c>
      <c r="H870" s="5">
        <v>15000</v>
      </c>
      <c r="I870" s="5">
        <v>1000</v>
      </c>
    </row>
    <row r="871" spans="2:9" x14ac:dyDescent="0.3">
      <c r="B871" s="4" t="s">
        <v>19</v>
      </c>
      <c r="C871" s="5">
        <v>1200</v>
      </c>
      <c r="D871" s="5">
        <v>48215</v>
      </c>
      <c r="E871" s="5">
        <v>1085</v>
      </c>
      <c r="F871" s="5">
        <v>7749</v>
      </c>
      <c r="G871" s="5">
        <v>54530</v>
      </c>
      <c r="H871" s="5">
        <v>0</v>
      </c>
      <c r="I871" s="5">
        <v>0</v>
      </c>
    </row>
    <row r="872" spans="2:9" x14ac:dyDescent="0.3">
      <c r="B872" s="4" t="s">
        <v>20</v>
      </c>
      <c r="C872" s="5">
        <v>6400</v>
      </c>
      <c r="D872" s="5">
        <v>86450</v>
      </c>
      <c r="E872" s="5">
        <v>7800</v>
      </c>
      <c r="F872" s="5">
        <v>76825</v>
      </c>
      <c r="G872" s="5">
        <v>59260</v>
      </c>
      <c r="H872" s="5">
        <v>0</v>
      </c>
      <c r="I872" s="5">
        <v>0</v>
      </c>
    </row>
    <row r="873" spans="2:9" x14ac:dyDescent="0.3">
      <c r="B873" s="4" t="s">
        <v>21</v>
      </c>
      <c r="C873" s="5">
        <v>201778</v>
      </c>
      <c r="D873" s="5">
        <v>76663995</v>
      </c>
      <c r="E873" s="5">
        <v>86788</v>
      </c>
      <c r="F873" s="5">
        <v>21041525</v>
      </c>
      <c r="G873" s="5">
        <v>13006352</v>
      </c>
      <c r="H873" s="5">
        <v>121000</v>
      </c>
      <c r="I873" s="5">
        <v>5000</v>
      </c>
    </row>
    <row r="874" spans="2:9" x14ac:dyDescent="0.3">
      <c r="B874" s="4" t="s">
        <v>22</v>
      </c>
      <c r="C874" s="5">
        <v>13705</v>
      </c>
      <c r="D874" s="5">
        <v>6087995</v>
      </c>
      <c r="E874" s="5">
        <v>5120</v>
      </c>
      <c r="F874" s="5">
        <v>1360155</v>
      </c>
      <c r="G874" s="5">
        <v>991510</v>
      </c>
      <c r="H874" s="5">
        <v>10000</v>
      </c>
      <c r="I874" s="5">
        <v>2000</v>
      </c>
    </row>
    <row r="875" spans="2:9" x14ac:dyDescent="0.3">
      <c r="B875" s="4" t="s">
        <v>23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5000000</v>
      </c>
      <c r="I875" s="5">
        <v>77478385</v>
      </c>
    </row>
    <row r="876" spans="2:9" x14ac:dyDescent="0.3">
      <c r="B876" s="4" t="s">
        <v>26</v>
      </c>
      <c r="C876" s="5">
        <v>1910</v>
      </c>
      <c r="D876" s="5">
        <v>163935</v>
      </c>
      <c r="E876" s="5">
        <v>22990</v>
      </c>
      <c r="F876" s="5">
        <v>1459920</v>
      </c>
      <c r="G876" s="5">
        <v>756920</v>
      </c>
      <c r="H876" s="5">
        <v>0</v>
      </c>
      <c r="I876" s="5">
        <v>16000</v>
      </c>
    </row>
    <row r="877" spans="2:9" x14ac:dyDescent="0.3">
      <c r="B877" s="4" t="s">
        <v>27</v>
      </c>
      <c r="C877" s="5">
        <v>13073</v>
      </c>
      <c r="D877" s="5">
        <v>966546</v>
      </c>
      <c r="E877" s="5">
        <v>32736</v>
      </c>
      <c r="F877" s="5">
        <v>2405535</v>
      </c>
      <c r="G877" s="5">
        <v>365175</v>
      </c>
      <c r="H877" s="5">
        <v>0</v>
      </c>
      <c r="I877" s="5">
        <v>16000</v>
      </c>
    </row>
    <row r="878" spans="2:9" x14ac:dyDescent="0.3">
      <c r="B878" s="4" t="s">
        <v>34</v>
      </c>
      <c r="C878" s="5">
        <v>0</v>
      </c>
      <c r="D878" s="5">
        <v>0</v>
      </c>
      <c r="E878" s="5">
        <v>73810</v>
      </c>
      <c r="F878" s="5">
        <v>298935</v>
      </c>
      <c r="G878" s="5">
        <v>0</v>
      </c>
      <c r="H878" s="5">
        <v>0</v>
      </c>
      <c r="I878" s="5">
        <v>0</v>
      </c>
    </row>
    <row r="879" spans="2:9" x14ac:dyDescent="0.3">
      <c r="B879" s="4" t="s">
        <v>29</v>
      </c>
      <c r="C879" s="5">
        <v>0</v>
      </c>
      <c r="D879" s="5">
        <v>0</v>
      </c>
      <c r="E879" s="5">
        <v>50</v>
      </c>
      <c r="F879" s="5">
        <v>696</v>
      </c>
      <c r="G879" s="5">
        <v>0</v>
      </c>
      <c r="H879" s="5">
        <v>0</v>
      </c>
      <c r="I879" s="5">
        <v>0</v>
      </c>
    </row>
    <row r="880" spans="2:9" x14ac:dyDescent="0.3">
      <c r="B880" s="4" t="s">
        <v>30</v>
      </c>
      <c r="C880" s="5">
        <v>0</v>
      </c>
      <c r="D880" s="5">
        <v>0</v>
      </c>
      <c r="E880" s="5">
        <v>14025</v>
      </c>
      <c r="F880" s="5">
        <v>140005</v>
      </c>
      <c r="G880" s="5">
        <v>68955</v>
      </c>
      <c r="H880" s="5">
        <v>0</v>
      </c>
      <c r="I880" s="5">
        <v>10000</v>
      </c>
    </row>
    <row r="881" spans="2:9" x14ac:dyDescent="0.3">
      <c r="B881" s="4" t="s">
        <v>31</v>
      </c>
      <c r="C881" s="5">
        <v>37879</v>
      </c>
      <c r="D881" s="5">
        <v>13432602</v>
      </c>
      <c r="E881" s="5">
        <v>5308</v>
      </c>
      <c r="F881" s="5">
        <v>966745</v>
      </c>
      <c r="G881" s="5">
        <v>978218</v>
      </c>
      <c r="H881" s="5">
        <v>28000</v>
      </c>
      <c r="I881" s="5">
        <v>4000</v>
      </c>
    </row>
    <row r="882" spans="2:9" ht="15.6" x14ac:dyDescent="0.3">
      <c r="B882" s="18" t="s">
        <v>32</v>
      </c>
      <c r="C882" s="18"/>
      <c r="D882" s="7">
        <f>SUM(D868:D881)</f>
        <v>103185265</v>
      </c>
      <c r="E882" s="8"/>
      <c r="F882" s="7">
        <f>SUM(F868:F881)</f>
        <v>28235755</v>
      </c>
      <c r="G882" s="7">
        <f>SUM(G868:G881)</f>
        <v>16329910</v>
      </c>
      <c r="H882" s="6"/>
      <c r="I882" s="6"/>
    </row>
    <row r="884" spans="2:9" ht="15.6" x14ac:dyDescent="0.3">
      <c r="B884" s="17" t="s">
        <v>93</v>
      </c>
      <c r="C884" s="17"/>
      <c r="D884" s="17"/>
    </row>
    <row r="885" spans="2:9" x14ac:dyDescent="0.3">
      <c r="B885" s="4" t="s">
        <v>15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1900</v>
      </c>
      <c r="I885" s="5">
        <v>1900</v>
      </c>
    </row>
    <row r="886" spans="2:9" x14ac:dyDescent="0.3">
      <c r="B886" s="4" t="s">
        <v>38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1000</v>
      </c>
      <c r="I886" s="5">
        <v>1000</v>
      </c>
    </row>
    <row r="887" spans="2:9" x14ac:dyDescent="0.3">
      <c r="B887" s="4" t="s">
        <v>17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5600</v>
      </c>
      <c r="I887" s="5">
        <v>5600</v>
      </c>
    </row>
    <row r="888" spans="2:9" x14ac:dyDescent="0.3">
      <c r="B888" s="4" t="s">
        <v>18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119500</v>
      </c>
      <c r="I888" s="5">
        <v>107000</v>
      </c>
    </row>
    <row r="889" spans="2:9" x14ac:dyDescent="0.3">
      <c r="B889" s="4" t="s">
        <v>20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20000</v>
      </c>
      <c r="I889" s="5">
        <v>5000</v>
      </c>
    </row>
    <row r="890" spans="2:9" x14ac:dyDescent="0.3">
      <c r="B890" s="4" t="s">
        <v>21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726700</v>
      </c>
      <c r="I890" s="5">
        <v>732400</v>
      </c>
    </row>
    <row r="891" spans="2:9" x14ac:dyDescent="0.3">
      <c r="B891" s="4" t="s">
        <v>22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23660</v>
      </c>
      <c r="I891" s="5">
        <v>32660</v>
      </c>
    </row>
    <row r="892" spans="2:9" x14ac:dyDescent="0.3">
      <c r="B892" s="4" t="s">
        <v>23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392030240</v>
      </c>
      <c r="I892" s="5">
        <v>383631075</v>
      </c>
    </row>
    <row r="893" spans="2:9" x14ac:dyDescent="0.3">
      <c r="B893" s="4" t="s">
        <v>36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7000</v>
      </c>
    </row>
    <row r="894" spans="2:9" x14ac:dyDescent="0.3">
      <c r="B894" s="4" t="s">
        <v>24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150000</v>
      </c>
      <c r="I894" s="5">
        <v>150000</v>
      </c>
    </row>
    <row r="895" spans="2:9" x14ac:dyDescent="0.3">
      <c r="B895" s="4" t="s">
        <v>26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77500</v>
      </c>
      <c r="I895" s="5">
        <v>77000</v>
      </c>
    </row>
    <row r="896" spans="2:9" x14ac:dyDescent="0.3">
      <c r="B896" s="4" t="s">
        <v>27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106500</v>
      </c>
      <c r="I896" s="5">
        <v>146000</v>
      </c>
    </row>
    <row r="897" spans="2:9" x14ac:dyDescent="0.3">
      <c r="B897" s="4" t="s">
        <v>30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41000</v>
      </c>
      <c r="I897" s="5">
        <v>27000</v>
      </c>
    </row>
    <row r="898" spans="2:9" x14ac:dyDescent="0.3">
      <c r="B898" s="4" t="s">
        <v>31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58800</v>
      </c>
      <c r="I898" s="5">
        <v>80000</v>
      </c>
    </row>
    <row r="899" spans="2:9" ht="15.6" x14ac:dyDescent="0.3">
      <c r="B899" s="18" t="s">
        <v>32</v>
      </c>
      <c r="C899" s="18"/>
      <c r="D899" s="7">
        <f>SUM(D885:D898)</f>
        <v>0</v>
      </c>
      <c r="E899" s="8"/>
      <c r="F899" s="7">
        <f>SUM(F885:F898)</f>
        <v>0</v>
      </c>
      <c r="G899" s="7">
        <f>SUM(G885:G898)</f>
        <v>0</v>
      </c>
      <c r="H899" s="6"/>
      <c r="I899" s="6"/>
    </row>
    <row r="901" spans="2:9" ht="15.6" x14ac:dyDescent="0.3">
      <c r="B901" s="17" t="s">
        <v>94</v>
      </c>
      <c r="C901" s="17"/>
      <c r="D901" s="17"/>
    </row>
    <row r="902" spans="2:9" x14ac:dyDescent="0.3">
      <c r="B902" s="4" t="s">
        <v>15</v>
      </c>
      <c r="C902" s="5">
        <v>1900</v>
      </c>
      <c r="D902" s="5">
        <v>429415</v>
      </c>
      <c r="E902" s="5">
        <v>600</v>
      </c>
      <c r="F902" s="5">
        <v>143215</v>
      </c>
      <c r="G902" s="5">
        <v>0</v>
      </c>
      <c r="H902" s="5">
        <v>1500</v>
      </c>
      <c r="I902" s="5">
        <v>900</v>
      </c>
    </row>
    <row r="903" spans="2:9" x14ac:dyDescent="0.3">
      <c r="B903" s="4" t="s">
        <v>38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1000</v>
      </c>
    </row>
    <row r="904" spans="2:9" x14ac:dyDescent="0.3">
      <c r="B904" s="4" t="s">
        <v>17</v>
      </c>
      <c r="C904" s="5">
        <v>3200</v>
      </c>
      <c r="D904" s="5">
        <v>831175</v>
      </c>
      <c r="E904" s="5">
        <v>0</v>
      </c>
      <c r="F904" s="5">
        <v>0</v>
      </c>
      <c r="G904" s="5">
        <v>0</v>
      </c>
      <c r="H904" s="5">
        <v>3100</v>
      </c>
      <c r="I904" s="5">
        <v>300</v>
      </c>
    </row>
    <row r="905" spans="2:9" x14ac:dyDescent="0.3">
      <c r="B905" s="4" t="s">
        <v>18</v>
      </c>
      <c r="C905" s="5">
        <v>55800</v>
      </c>
      <c r="D905" s="5">
        <v>22666271</v>
      </c>
      <c r="E905" s="5">
        <v>9480</v>
      </c>
      <c r="F905" s="5">
        <v>3918425</v>
      </c>
      <c r="G905" s="5">
        <v>0</v>
      </c>
      <c r="H905" s="5">
        <v>55500</v>
      </c>
      <c r="I905" s="5">
        <v>5500</v>
      </c>
    </row>
    <row r="906" spans="2:9" x14ac:dyDescent="0.3">
      <c r="B906" s="4" t="s">
        <v>20</v>
      </c>
      <c r="C906" s="5">
        <v>5700</v>
      </c>
      <c r="D906" s="5">
        <v>83339</v>
      </c>
      <c r="E906" s="5">
        <v>27000</v>
      </c>
      <c r="F906" s="5">
        <v>456512</v>
      </c>
      <c r="G906" s="5">
        <v>0</v>
      </c>
      <c r="H906" s="5">
        <v>0</v>
      </c>
      <c r="I906" s="5">
        <v>20000</v>
      </c>
    </row>
    <row r="907" spans="2:9" x14ac:dyDescent="0.3">
      <c r="B907" s="4" t="s">
        <v>21</v>
      </c>
      <c r="C907" s="5">
        <v>354944</v>
      </c>
      <c r="D907" s="5">
        <v>136268033</v>
      </c>
      <c r="E907" s="5">
        <v>102545</v>
      </c>
      <c r="F907" s="5">
        <v>39849154</v>
      </c>
      <c r="G907" s="5">
        <v>0</v>
      </c>
      <c r="H907" s="5">
        <v>276000</v>
      </c>
      <c r="I907" s="5">
        <v>23500</v>
      </c>
    </row>
    <row r="908" spans="2:9" x14ac:dyDescent="0.3">
      <c r="B908" s="4" t="s">
        <v>22</v>
      </c>
      <c r="C908" s="5">
        <v>9245</v>
      </c>
      <c r="D908" s="5">
        <v>4112523</v>
      </c>
      <c r="E908" s="5">
        <v>8895</v>
      </c>
      <c r="F908" s="5">
        <v>4056995</v>
      </c>
      <c r="G908" s="5">
        <v>0</v>
      </c>
      <c r="H908" s="5">
        <v>5000</v>
      </c>
      <c r="I908" s="5">
        <v>5160</v>
      </c>
    </row>
    <row r="909" spans="2:9" x14ac:dyDescent="0.3">
      <c r="B909" s="4" t="s">
        <v>23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2307355</v>
      </c>
      <c r="I909" s="5">
        <v>115003030</v>
      </c>
    </row>
    <row r="910" spans="2:9" x14ac:dyDescent="0.3">
      <c r="B910" s="4" t="s">
        <v>36</v>
      </c>
      <c r="C910" s="5">
        <v>4000</v>
      </c>
      <c r="D910" s="5">
        <v>352800</v>
      </c>
      <c r="E910" s="5">
        <v>0</v>
      </c>
      <c r="F910" s="5">
        <v>0</v>
      </c>
      <c r="G910" s="5">
        <v>0</v>
      </c>
      <c r="H910" s="5">
        <v>7000</v>
      </c>
      <c r="I910" s="5">
        <v>0</v>
      </c>
    </row>
    <row r="911" spans="2:9" x14ac:dyDescent="0.3">
      <c r="B911" s="4" t="s">
        <v>26</v>
      </c>
      <c r="C911" s="5">
        <v>1860</v>
      </c>
      <c r="D911" s="5">
        <v>164967</v>
      </c>
      <c r="E911" s="5">
        <v>12640</v>
      </c>
      <c r="F911" s="5">
        <v>1175700</v>
      </c>
      <c r="G911" s="5">
        <v>0</v>
      </c>
      <c r="H911" s="5">
        <v>2000</v>
      </c>
      <c r="I911" s="5">
        <v>14500</v>
      </c>
    </row>
    <row r="912" spans="2:9" x14ac:dyDescent="0.3">
      <c r="B912" s="4" t="s">
        <v>27</v>
      </c>
      <c r="C912" s="5">
        <v>36072</v>
      </c>
      <c r="D912" s="5">
        <v>2688739</v>
      </c>
      <c r="E912" s="5">
        <v>64216</v>
      </c>
      <c r="F912" s="5">
        <v>5055898</v>
      </c>
      <c r="G912" s="5">
        <v>0</v>
      </c>
      <c r="H912" s="5">
        <v>17100</v>
      </c>
      <c r="I912" s="5">
        <v>44100</v>
      </c>
    </row>
    <row r="913" spans="2:9" x14ac:dyDescent="0.3">
      <c r="B913" s="4" t="s">
        <v>34</v>
      </c>
      <c r="C913" s="5">
        <v>7320</v>
      </c>
      <c r="D913" s="5">
        <v>21960</v>
      </c>
      <c r="E913" s="5">
        <v>13010</v>
      </c>
      <c r="F913" s="5">
        <v>52690</v>
      </c>
      <c r="G913" s="5">
        <v>0</v>
      </c>
      <c r="H913" s="5">
        <v>0</v>
      </c>
      <c r="I913" s="5">
        <v>0</v>
      </c>
    </row>
    <row r="914" spans="2:9" x14ac:dyDescent="0.3">
      <c r="B914" s="4" t="s">
        <v>30</v>
      </c>
      <c r="C914" s="5">
        <v>0</v>
      </c>
      <c r="D914" s="5">
        <v>0</v>
      </c>
      <c r="E914" s="5">
        <v>12430</v>
      </c>
      <c r="F914" s="5">
        <v>184120</v>
      </c>
      <c r="G914" s="5">
        <v>0</v>
      </c>
      <c r="H914" s="5">
        <v>0</v>
      </c>
      <c r="I914" s="5">
        <v>13800</v>
      </c>
    </row>
    <row r="915" spans="2:9" x14ac:dyDescent="0.3">
      <c r="B915" s="4" t="s">
        <v>31</v>
      </c>
      <c r="C915" s="5">
        <v>26468</v>
      </c>
      <c r="D915" s="5">
        <v>9381623</v>
      </c>
      <c r="E915" s="5">
        <v>27335</v>
      </c>
      <c r="F915" s="5">
        <v>9873981</v>
      </c>
      <c r="G915" s="5">
        <v>0</v>
      </c>
      <c r="H915" s="5">
        <v>16020</v>
      </c>
      <c r="I915" s="5">
        <v>18000</v>
      </c>
    </row>
    <row r="916" spans="2:9" ht="15.6" x14ac:dyDescent="0.3">
      <c r="B916" s="18" t="s">
        <v>32</v>
      </c>
      <c r="C916" s="18"/>
      <c r="D916" s="7">
        <f>SUM(D902:D915)</f>
        <v>177000845</v>
      </c>
      <c r="E916" s="8"/>
      <c r="F916" s="7">
        <f>SUM(F902:F915)</f>
        <v>64766690</v>
      </c>
      <c r="G916" s="7">
        <f>SUM(G902:G915)</f>
        <v>0</v>
      </c>
      <c r="H916" s="6"/>
      <c r="I916" s="6"/>
    </row>
    <row r="918" spans="2:9" ht="15.6" x14ac:dyDescent="0.3">
      <c r="B918" s="17" t="s">
        <v>95</v>
      </c>
      <c r="C918" s="17"/>
      <c r="D918" s="17"/>
    </row>
    <row r="919" spans="2:9" x14ac:dyDescent="0.3">
      <c r="B919" s="4" t="s">
        <v>17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300</v>
      </c>
    </row>
    <row r="920" spans="2:9" x14ac:dyDescent="0.3">
      <c r="B920" s="4" t="s">
        <v>18</v>
      </c>
      <c r="C920" s="5">
        <v>8450</v>
      </c>
      <c r="D920" s="5">
        <v>3377383</v>
      </c>
      <c r="E920" s="5">
        <v>2280</v>
      </c>
      <c r="F920" s="5">
        <v>20850</v>
      </c>
      <c r="G920" s="5">
        <v>934790</v>
      </c>
      <c r="H920" s="5">
        <v>8000</v>
      </c>
      <c r="I920" s="5">
        <v>1000</v>
      </c>
    </row>
    <row r="921" spans="2:9" x14ac:dyDescent="0.3">
      <c r="B921" s="4" t="s">
        <v>19</v>
      </c>
      <c r="C921" s="5">
        <v>256</v>
      </c>
      <c r="D921" s="5">
        <v>10285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</row>
    <row r="922" spans="2:9" x14ac:dyDescent="0.3">
      <c r="B922" s="4" t="s">
        <v>20</v>
      </c>
      <c r="C922" s="5">
        <v>100</v>
      </c>
      <c r="D922" s="5">
        <v>1360</v>
      </c>
      <c r="E922" s="5">
        <v>800</v>
      </c>
      <c r="F922" s="5">
        <v>13953</v>
      </c>
      <c r="G922" s="5">
        <v>0</v>
      </c>
      <c r="H922" s="5">
        <v>0</v>
      </c>
      <c r="I922" s="5">
        <v>0</v>
      </c>
    </row>
    <row r="923" spans="2:9" x14ac:dyDescent="0.3">
      <c r="B923" s="4" t="s">
        <v>21</v>
      </c>
      <c r="C923" s="5">
        <v>146854</v>
      </c>
      <c r="D923" s="5">
        <v>55677326</v>
      </c>
      <c r="E923" s="5">
        <v>46535</v>
      </c>
      <c r="F923" s="5">
        <v>8647089</v>
      </c>
      <c r="G923" s="5">
        <v>9644260</v>
      </c>
      <c r="H923" s="5">
        <v>96900</v>
      </c>
      <c r="I923" s="5">
        <v>0</v>
      </c>
    </row>
    <row r="924" spans="2:9" x14ac:dyDescent="0.3">
      <c r="B924" s="4" t="s">
        <v>22</v>
      </c>
      <c r="C924" s="5">
        <v>6020</v>
      </c>
      <c r="D924" s="5">
        <v>2670863</v>
      </c>
      <c r="E924" s="5">
        <v>1665</v>
      </c>
      <c r="F924" s="5">
        <v>420770</v>
      </c>
      <c r="G924" s="5">
        <v>352230</v>
      </c>
      <c r="H924" s="5">
        <v>4500</v>
      </c>
      <c r="I924" s="5">
        <v>0</v>
      </c>
    </row>
    <row r="925" spans="2:9" x14ac:dyDescent="0.3">
      <c r="B925" s="4" t="s">
        <v>23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4500000</v>
      </c>
      <c r="I925" s="5">
        <v>53432415</v>
      </c>
    </row>
    <row r="926" spans="2:9" x14ac:dyDescent="0.3">
      <c r="B926" s="4" t="s">
        <v>24</v>
      </c>
      <c r="C926" s="5">
        <v>0</v>
      </c>
      <c r="D926" s="5">
        <v>0</v>
      </c>
      <c r="E926" s="5">
        <v>76000</v>
      </c>
      <c r="F926" s="5">
        <v>0</v>
      </c>
      <c r="G926" s="5">
        <v>199955</v>
      </c>
      <c r="H926" s="5">
        <v>0</v>
      </c>
      <c r="I926" s="5">
        <v>50000</v>
      </c>
    </row>
    <row r="927" spans="2:9" x14ac:dyDescent="0.3">
      <c r="B927" s="4" t="s">
        <v>26</v>
      </c>
      <c r="C927" s="5">
        <v>210</v>
      </c>
      <c r="D927" s="5">
        <v>17880</v>
      </c>
      <c r="E927" s="5">
        <v>21910</v>
      </c>
      <c r="F927" s="5">
        <v>1300790</v>
      </c>
      <c r="G927" s="5">
        <v>814050</v>
      </c>
      <c r="H927" s="5">
        <v>0</v>
      </c>
      <c r="I927" s="5">
        <v>21000</v>
      </c>
    </row>
    <row r="928" spans="2:9" x14ac:dyDescent="0.3">
      <c r="B928" s="4" t="s">
        <v>27</v>
      </c>
      <c r="C928" s="5">
        <v>25179</v>
      </c>
      <c r="D928" s="5">
        <v>1859686</v>
      </c>
      <c r="E928" s="5">
        <v>37692</v>
      </c>
      <c r="F928" s="5">
        <v>2523153</v>
      </c>
      <c r="G928" s="5">
        <v>667660</v>
      </c>
      <c r="H928" s="5">
        <v>0</v>
      </c>
      <c r="I928" s="5">
        <v>14500</v>
      </c>
    </row>
    <row r="929" spans="2:9" x14ac:dyDescent="0.3">
      <c r="B929" s="4" t="s">
        <v>34</v>
      </c>
      <c r="C929" s="5">
        <v>4710</v>
      </c>
      <c r="D929" s="5">
        <v>14130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</row>
    <row r="930" spans="2:9" x14ac:dyDescent="0.3">
      <c r="B930" s="4" t="s">
        <v>29</v>
      </c>
      <c r="C930" s="5">
        <v>4000</v>
      </c>
      <c r="D930" s="5">
        <v>28000</v>
      </c>
      <c r="E930" s="5">
        <v>4000</v>
      </c>
      <c r="F930" s="5">
        <v>55720</v>
      </c>
      <c r="G930" s="5">
        <v>0</v>
      </c>
      <c r="H930" s="5">
        <v>0</v>
      </c>
      <c r="I930" s="5">
        <v>0</v>
      </c>
    </row>
    <row r="931" spans="2:9" x14ac:dyDescent="0.3">
      <c r="B931" s="4" t="s">
        <v>30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2000</v>
      </c>
      <c r="I931" s="5">
        <v>4200</v>
      </c>
    </row>
    <row r="932" spans="2:9" x14ac:dyDescent="0.3">
      <c r="B932" s="4" t="s">
        <v>31</v>
      </c>
      <c r="C932" s="5">
        <v>3155</v>
      </c>
      <c r="D932" s="5">
        <v>1107152</v>
      </c>
      <c r="E932" s="5">
        <v>7047</v>
      </c>
      <c r="F932" s="5">
        <v>1535455</v>
      </c>
      <c r="G932" s="5">
        <v>1069205</v>
      </c>
      <c r="H932" s="5">
        <v>1500</v>
      </c>
      <c r="I932" s="5">
        <v>5120</v>
      </c>
    </row>
    <row r="933" spans="2:9" ht="15.6" x14ac:dyDescent="0.3">
      <c r="B933" s="18" t="s">
        <v>32</v>
      </c>
      <c r="C933" s="18"/>
      <c r="D933" s="7">
        <f>SUM(D919:D932)</f>
        <v>64764065</v>
      </c>
      <c r="E933" s="8"/>
      <c r="F933" s="7">
        <f>SUM(F919:F932)</f>
        <v>14517780</v>
      </c>
      <c r="G933" s="7">
        <f>SUM(G919:G932)</f>
        <v>13682150</v>
      </c>
      <c r="H933" s="6"/>
      <c r="I933" s="6"/>
    </row>
    <row r="935" spans="2:9" ht="15.6" x14ac:dyDescent="0.3">
      <c r="B935" s="17" t="s">
        <v>96</v>
      </c>
      <c r="C935" s="17"/>
      <c r="D935" s="17"/>
    </row>
    <row r="936" spans="2:9" x14ac:dyDescent="0.3">
      <c r="B936" s="4" t="s">
        <v>17</v>
      </c>
      <c r="C936" s="5">
        <v>0</v>
      </c>
      <c r="D936" s="5">
        <v>0</v>
      </c>
      <c r="E936" s="5">
        <v>2500</v>
      </c>
      <c r="F936" s="5">
        <v>677725</v>
      </c>
      <c r="G936" s="5">
        <v>0</v>
      </c>
      <c r="H936" s="5">
        <v>0</v>
      </c>
      <c r="I936" s="5">
        <v>2700</v>
      </c>
    </row>
    <row r="937" spans="2:9" x14ac:dyDescent="0.3">
      <c r="B937" s="4" t="s">
        <v>18</v>
      </c>
      <c r="C937" s="5">
        <v>5820</v>
      </c>
      <c r="D937" s="5">
        <v>2337975</v>
      </c>
      <c r="E937" s="5">
        <v>200</v>
      </c>
      <c r="F937" s="5">
        <v>41315</v>
      </c>
      <c r="G937" s="5">
        <v>41580</v>
      </c>
      <c r="H937" s="5">
        <v>6000</v>
      </c>
      <c r="I937" s="5">
        <v>0</v>
      </c>
    </row>
    <row r="938" spans="2:9" x14ac:dyDescent="0.3">
      <c r="B938" s="4" t="s">
        <v>20</v>
      </c>
      <c r="C938" s="5">
        <v>0</v>
      </c>
      <c r="D938" s="5">
        <v>0</v>
      </c>
      <c r="E938" s="5">
        <v>600</v>
      </c>
      <c r="F938" s="5">
        <v>10451</v>
      </c>
      <c r="G938" s="5">
        <v>0</v>
      </c>
      <c r="H938" s="5">
        <v>0</v>
      </c>
      <c r="I938" s="5">
        <v>0</v>
      </c>
    </row>
    <row r="939" spans="2:9" x14ac:dyDescent="0.3">
      <c r="B939" s="4" t="s">
        <v>21</v>
      </c>
      <c r="C939" s="5">
        <v>136560</v>
      </c>
      <c r="D939" s="5">
        <v>51918952</v>
      </c>
      <c r="E939" s="5">
        <v>42474</v>
      </c>
      <c r="F939" s="5">
        <v>12252520</v>
      </c>
      <c r="G939" s="5">
        <v>4431684</v>
      </c>
      <c r="H939" s="5">
        <v>97000</v>
      </c>
      <c r="I939" s="5">
        <v>2600</v>
      </c>
    </row>
    <row r="940" spans="2:9" x14ac:dyDescent="0.3">
      <c r="B940" s="4" t="s">
        <v>22</v>
      </c>
      <c r="C940" s="5">
        <v>305</v>
      </c>
      <c r="D940" s="5">
        <v>135449</v>
      </c>
      <c r="E940" s="5">
        <v>2250</v>
      </c>
      <c r="F940" s="5">
        <v>784941</v>
      </c>
      <c r="G940" s="5">
        <v>247480</v>
      </c>
      <c r="H940" s="5">
        <v>0</v>
      </c>
      <c r="I940" s="5">
        <v>1500</v>
      </c>
    </row>
    <row r="941" spans="2:9" x14ac:dyDescent="0.3">
      <c r="B941" s="4" t="s">
        <v>23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500000</v>
      </c>
      <c r="I941" s="5">
        <v>44593515</v>
      </c>
    </row>
    <row r="942" spans="2:9" x14ac:dyDescent="0.3">
      <c r="B942" s="4" t="s">
        <v>36</v>
      </c>
      <c r="C942" s="5">
        <v>200</v>
      </c>
      <c r="D942" s="5">
        <v>17600</v>
      </c>
      <c r="E942" s="5">
        <v>200</v>
      </c>
      <c r="F942" s="5">
        <v>20770</v>
      </c>
      <c r="G942" s="5">
        <v>0</v>
      </c>
      <c r="H942" s="5">
        <v>0</v>
      </c>
      <c r="I942" s="5">
        <v>0</v>
      </c>
    </row>
    <row r="943" spans="2:9" x14ac:dyDescent="0.3">
      <c r="B943" s="4" t="s">
        <v>24</v>
      </c>
      <c r="C943" s="5">
        <v>0</v>
      </c>
      <c r="D943" s="5">
        <v>0</v>
      </c>
      <c r="E943" s="5">
        <v>100000</v>
      </c>
      <c r="F943" s="5">
        <v>260100</v>
      </c>
      <c r="G943" s="5">
        <v>0</v>
      </c>
      <c r="H943" s="5">
        <v>0</v>
      </c>
      <c r="I943" s="5">
        <v>100000</v>
      </c>
    </row>
    <row r="944" spans="2:9" x14ac:dyDescent="0.3">
      <c r="B944" s="4" t="s">
        <v>26</v>
      </c>
      <c r="C944" s="5">
        <v>2600</v>
      </c>
      <c r="D944" s="5">
        <v>221790</v>
      </c>
      <c r="E944" s="5">
        <v>15430</v>
      </c>
      <c r="F944" s="5">
        <v>559713</v>
      </c>
      <c r="G944" s="5">
        <v>942395</v>
      </c>
      <c r="H944" s="5">
        <v>0</v>
      </c>
      <c r="I944" s="5">
        <v>8000</v>
      </c>
    </row>
    <row r="945" spans="2:9" x14ac:dyDescent="0.3">
      <c r="B945" s="4" t="s">
        <v>27</v>
      </c>
      <c r="C945" s="5">
        <v>11348</v>
      </c>
      <c r="D945" s="5">
        <v>833790</v>
      </c>
      <c r="E945" s="5">
        <v>8856</v>
      </c>
      <c r="F945" s="5">
        <v>414610</v>
      </c>
      <c r="G945" s="5">
        <v>335890</v>
      </c>
      <c r="H945" s="5">
        <v>5000</v>
      </c>
      <c r="I945" s="5">
        <v>5000</v>
      </c>
    </row>
    <row r="946" spans="2:9" x14ac:dyDescent="0.3">
      <c r="B946" s="4" t="s">
        <v>34</v>
      </c>
      <c r="C946" s="5">
        <v>0</v>
      </c>
      <c r="D946" s="5">
        <v>0</v>
      </c>
      <c r="E946" s="5">
        <v>20000</v>
      </c>
      <c r="F946" s="5">
        <v>81000</v>
      </c>
      <c r="G946" s="5">
        <v>0</v>
      </c>
      <c r="H946" s="5">
        <v>0</v>
      </c>
      <c r="I946" s="5">
        <v>0</v>
      </c>
    </row>
    <row r="947" spans="2:9" x14ac:dyDescent="0.3">
      <c r="B947" s="4" t="s">
        <v>30</v>
      </c>
      <c r="C947" s="5">
        <v>2900</v>
      </c>
      <c r="D947" s="5">
        <v>28421</v>
      </c>
      <c r="E947" s="5">
        <v>10030</v>
      </c>
      <c r="F947" s="5">
        <v>147440</v>
      </c>
      <c r="G947" s="5">
        <v>0</v>
      </c>
      <c r="H947" s="5">
        <v>0</v>
      </c>
      <c r="I947" s="5">
        <v>9000</v>
      </c>
    </row>
    <row r="948" spans="2:9" x14ac:dyDescent="0.3">
      <c r="B948" s="4" t="s">
        <v>53</v>
      </c>
      <c r="C948" s="5">
        <v>0</v>
      </c>
      <c r="D948" s="5">
        <v>0</v>
      </c>
      <c r="E948" s="5">
        <v>570</v>
      </c>
      <c r="F948" s="5">
        <v>8549</v>
      </c>
      <c r="G948" s="5">
        <v>0</v>
      </c>
      <c r="H948" s="5">
        <v>0</v>
      </c>
      <c r="I948" s="5">
        <v>0</v>
      </c>
    </row>
    <row r="949" spans="2:9" x14ac:dyDescent="0.3">
      <c r="B949" s="4" t="s">
        <v>31</v>
      </c>
      <c r="C949" s="5">
        <v>9242</v>
      </c>
      <c r="D949" s="5">
        <v>3263108</v>
      </c>
      <c r="E949" s="5">
        <v>5006</v>
      </c>
      <c r="F949" s="5">
        <v>1016501</v>
      </c>
      <c r="G949" s="5">
        <v>815511</v>
      </c>
      <c r="H949" s="5">
        <v>8500</v>
      </c>
      <c r="I949" s="5">
        <v>800</v>
      </c>
    </row>
    <row r="950" spans="2:9" ht="15.6" x14ac:dyDescent="0.3">
      <c r="B950" s="18" t="s">
        <v>32</v>
      </c>
      <c r="C950" s="18"/>
      <c r="D950" s="7">
        <f>SUM(D936:D949)</f>
        <v>58757085</v>
      </c>
      <c r="E950" s="8"/>
      <c r="F950" s="7">
        <f>SUM(F936:F949)</f>
        <v>16275635</v>
      </c>
      <c r="G950" s="7">
        <f>SUM(G936:G949)</f>
        <v>6814540</v>
      </c>
      <c r="H950" s="6"/>
      <c r="I950" s="6"/>
    </row>
    <row r="952" spans="2:9" ht="15.6" x14ac:dyDescent="0.3">
      <c r="B952" s="17" t="s">
        <v>97</v>
      </c>
      <c r="C952" s="17"/>
      <c r="D952" s="17"/>
    </row>
    <row r="953" spans="2:9" x14ac:dyDescent="0.3">
      <c r="B953" s="4" t="s">
        <v>38</v>
      </c>
      <c r="C953" s="5">
        <v>100</v>
      </c>
      <c r="D953" s="5">
        <v>18620</v>
      </c>
      <c r="E953" s="5">
        <v>0</v>
      </c>
      <c r="F953" s="5">
        <v>0</v>
      </c>
      <c r="G953" s="5">
        <v>0</v>
      </c>
      <c r="H953" s="5">
        <v>1000</v>
      </c>
      <c r="I953" s="5">
        <v>0</v>
      </c>
    </row>
    <row r="954" spans="2:9" x14ac:dyDescent="0.3">
      <c r="B954" s="4" t="s">
        <v>18</v>
      </c>
      <c r="C954" s="5">
        <v>11130</v>
      </c>
      <c r="D954" s="5">
        <v>4502946</v>
      </c>
      <c r="E954" s="5">
        <v>0</v>
      </c>
      <c r="F954" s="5">
        <v>0</v>
      </c>
      <c r="G954" s="5">
        <v>0</v>
      </c>
      <c r="H954" s="5">
        <v>10500</v>
      </c>
      <c r="I954" s="5">
        <v>0</v>
      </c>
    </row>
    <row r="955" spans="2:9" x14ac:dyDescent="0.3">
      <c r="B955" s="4" t="s">
        <v>20</v>
      </c>
      <c r="C955" s="5">
        <v>5000</v>
      </c>
      <c r="D955" s="5">
        <v>73200</v>
      </c>
      <c r="E955" s="5">
        <v>0</v>
      </c>
      <c r="F955" s="5">
        <v>0</v>
      </c>
      <c r="G955" s="5">
        <v>0</v>
      </c>
      <c r="H955" s="5">
        <v>5000</v>
      </c>
      <c r="I955" s="5">
        <v>0</v>
      </c>
    </row>
    <row r="956" spans="2:9" x14ac:dyDescent="0.3">
      <c r="B956" s="4" t="s">
        <v>21</v>
      </c>
      <c r="C956" s="5">
        <v>64696</v>
      </c>
      <c r="D956" s="5">
        <v>24803552</v>
      </c>
      <c r="E956" s="5">
        <v>8461</v>
      </c>
      <c r="F956" s="5">
        <v>3287585</v>
      </c>
      <c r="G956" s="5">
        <v>0</v>
      </c>
      <c r="H956" s="5">
        <v>51500</v>
      </c>
      <c r="I956" s="5">
        <v>600</v>
      </c>
    </row>
    <row r="957" spans="2:9" x14ac:dyDescent="0.3">
      <c r="B957" s="4" t="s">
        <v>22</v>
      </c>
      <c r="C957" s="5">
        <v>13360</v>
      </c>
      <c r="D957" s="5">
        <v>6066310</v>
      </c>
      <c r="E957" s="5">
        <v>230</v>
      </c>
      <c r="F957" s="5">
        <v>104970</v>
      </c>
      <c r="G957" s="5">
        <v>0</v>
      </c>
      <c r="H957" s="5">
        <v>13160</v>
      </c>
      <c r="I957" s="5">
        <v>0</v>
      </c>
    </row>
    <row r="958" spans="2:9" x14ac:dyDescent="0.3">
      <c r="B958" s="4" t="s">
        <v>23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1000000</v>
      </c>
      <c r="I958" s="5">
        <v>30500000</v>
      </c>
    </row>
    <row r="959" spans="2:9" x14ac:dyDescent="0.3">
      <c r="B959" s="4" t="s">
        <v>26</v>
      </c>
      <c r="C959" s="5">
        <v>60</v>
      </c>
      <c r="D959" s="5">
        <v>5315</v>
      </c>
      <c r="E959" s="5">
        <v>1200</v>
      </c>
      <c r="F959" s="5">
        <v>112190</v>
      </c>
      <c r="G959" s="5">
        <v>0</v>
      </c>
      <c r="H959" s="5">
        <v>0</v>
      </c>
      <c r="I959" s="5">
        <v>0</v>
      </c>
    </row>
    <row r="960" spans="2:9" x14ac:dyDescent="0.3">
      <c r="B960" s="4" t="s">
        <v>27</v>
      </c>
      <c r="C960" s="5">
        <v>23057</v>
      </c>
      <c r="D960" s="5">
        <v>1736200</v>
      </c>
      <c r="E960" s="5">
        <v>11211</v>
      </c>
      <c r="F960" s="5">
        <v>886500</v>
      </c>
      <c r="G960" s="5">
        <v>0</v>
      </c>
      <c r="H960" s="5">
        <v>19000</v>
      </c>
      <c r="I960" s="5">
        <v>6000</v>
      </c>
    </row>
    <row r="961" spans="2:9" x14ac:dyDescent="0.3">
      <c r="B961" s="4" t="s">
        <v>30</v>
      </c>
      <c r="C961" s="5">
        <v>635</v>
      </c>
      <c r="D961" s="5">
        <v>6225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</row>
    <row r="962" spans="2:9" x14ac:dyDescent="0.3">
      <c r="B962" s="4" t="s">
        <v>31</v>
      </c>
      <c r="C962" s="5">
        <v>437</v>
      </c>
      <c r="D962" s="5">
        <v>155227</v>
      </c>
      <c r="E962" s="5">
        <v>7857</v>
      </c>
      <c r="F962" s="5">
        <v>2847720</v>
      </c>
      <c r="G962" s="5">
        <v>0</v>
      </c>
      <c r="H962" s="5">
        <v>0</v>
      </c>
      <c r="I962" s="5">
        <v>6500</v>
      </c>
    </row>
    <row r="963" spans="2:9" ht="15.6" x14ac:dyDescent="0.3">
      <c r="B963" s="18" t="s">
        <v>32</v>
      </c>
      <c r="C963" s="18"/>
      <c r="D963" s="7">
        <f>SUM(D953:D962)</f>
        <v>37367595</v>
      </c>
      <c r="E963" s="8"/>
      <c r="F963" s="7">
        <f>SUM(F953:F962)</f>
        <v>7238965</v>
      </c>
      <c r="G963" s="7">
        <f>SUM(G953:G962)</f>
        <v>0</v>
      </c>
      <c r="H963" s="6"/>
      <c r="I963" s="6"/>
    </row>
    <row r="965" spans="2:9" ht="17.399999999999999" x14ac:dyDescent="0.3">
      <c r="B965" s="22" t="s">
        <v>98</v>
      </c>
      <c r="C965" s="22"/>
      <c r="D965" s="22"/>
      <c r="E965" s="22"/>
      <c r="F965" s="22"/>
      <c r="G965" s="22"/>
      <c r="H965" s="22"/>
      <c r="I965" s="22"/>
    </row>
    <row r="966" spans="2:9" ht="15.6" x14ac:dyDescent="0.3">
      <c r="B966" s="17" t="s">
        <v>99</v>
      </c>
      <c r="C966" s="17"/>
      <c r="D966" s="17"/>
    </row>
    <row r="967" spans="2:9" x14ac:dyDescent="0.3">
      <c r="B967" s="4" t="s">
        <v>18</v>
      </c>
      <c r="C967" s="5">
        <v>3470</v>
      </c>
      <c r="D967" s="5">
        <v>1378385</v>
      </c>
      <c r="E967" s="5">
        <v>100</v>
      </c>
      <c r="F967" s="5">
        <v>42000</v>
      </c>
      <c r="G967" s="5">
        <v>0</v>
      </c>
      <c r="H967" s="5">
        <v>4500</v>
      </c>
      <c r="I967" s="5">
        <v>0</v>
      </c>
    </row>
    <row r="968" spans="2:9" x14ac:dyDescent="0.3">
      <c r="B968" s="4" t="s">
        <v>20</v>
      </c>
      <c r="C968" s="5">
        <v>200</v>
      </c>
      <c r="D968" s="5">
        <v>2720</v>
      </c>
      <c r="E968" s="5">
        <v>4600</v>
      </c>
      <c r="F968" s="5">
        <v>52890</v>
      </c>
      <c r="G968" s="5">
        <v>27905</v>
      </c>
      <c r="H968" s="5">
        <v>0</v>
      </c>
      <c r="I968" s="5">
        <v>10000</v>
      </c>
    </row>
    <row r="969" spans="2:9" x14ac:dyDescent="0.3">
      <c r="B969" s="4" t="s">
        <v>21</v>
      </c>
      <c r="C969" s="5">
        <v>179523</v>
      </c>
      <c r="D969" s="5">
        <v>68350150</v>
      </c>
      <c r="E969" s="5">
        <v>46500</v>
      </c>
      <c r="F969" s="5">
        <v>12745824</v>
      </c>
      <c r="G969" s="5">
        <v>5570810</v>
      </c>
      <c r="H969" s="5">
        <v>141100</v>
      </c>
      <c r="I969" s="5">
        <v>0</v>
      </c>
    </row>
    <row r="970" spans="2:9" x14ac:dyDescent="0.3">
      <c r="B970" s="4" t="s">
        <v>22</v>
      </c>
      <c r="C970" s="5">
        <v>3620</v>
      </c>
      <c r="D970" s="5">
        <v>1604270</v>
      </c>
      <c r="E970" s="5">
        <v>910</v>
      </c>
      <c r="F970" s="5">
        <v>166980</v>
      </c>
      <c r="G970" s="5">
        <v>252020</v>
      </c>
      <c r="H970" s="5">
        <v>3200</v>
      </c>
      <c r="I970" s="5">
        <v>0</v>
      </c>
    </row>
    <row r="971" spans="2:9" x14ac:dyDescent="0.3">
      <c r="B971" s="4" t="s">
        <v>23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59869750</v>
      </c>
    </row>
    <row r="972" spans="2:9" x14ac:dyDescent="0.3">
      <c r="B972" s="4" t="s">
        <v>26</v>
      </c>
      <c r="C972" s="5">
        <v>590</v>
      </c>
      <c r="D972" s="5">
        <v>50495</v>
      </c>
      <c r="E972" s="5">
        <v>2510</v>
      </c>
      <c r="F972" s="5">
        <v>243545</v>
      </c>
      <c r="G972" s="5">
        <v>0</v>
      </c>
      <c r="H972" s="5">
        <v>0</v>
      </c>
      <c r="I972" s="5">
        <v>3000</v>
      </c>
    </row>
    <row r="973" spans="2:9" x14ac:dyDescent="0.3">
      <c r="B973" s="4" t="s">
        <v>27</v>
      </c>
      <c r="C973" s="5">
        <v>1307</v>
      </c>
      <c r="D973" s="5">
        <v>96850</v>
      </c>
      <c r="E973" s="5">
        <v>1800</v>
      </c>
      <c r="F973" s="5">
        <v>152290</v>
      </c>
      <c r="G973" s="5">
        <v>0</v>
      </c>
      <c r="H973" s="5">
        <v>0</v>
      </c>
      <c r="I973" s="5">
        <v>0</v>
      </c>
    </row>
    <row r="974" spans="2:9" x14ac:dyDescent="0.3">
      <c r="B974" s="4" t="s">
        <v>34</v>
      </c>
      <c r="C974" s="5">
        <v>5130</v>
      </c>
      <c r="D974" s="5">
        <v>15390</v>
      </c>
      <c r="E974" s="5">
        <v>11860</v>
      </c>
      <c r="F974" s="5">
        <v>19035</v>
      </c>
      <c r="G974" s="5">
        <v>29000</v>
      </c>
      <c r="H974" s="5">
        <v>0</v>
      </c>
      <c r="I974" s="5">
        <v>0</v>
      </c>
    </row>
    <row r="975" spans="2:9" x14ac:dyDescent="0.3">
      <c r="B975" s="4" t="s">
        <v>29</v>
      </c>
      <c r="C975" s="5">
        <v>1000</v>
      </c>
      <c r="D975" s="5">
        <v>7000</v>
      </c>
      <c r="E975" s="5">
        <v>1080</v>
      </c>
      <c r="F975" s="5">
        <v>0</v>
      </c>
      <c r="G975" s="5">
        <v>15045</v>
      </c>
      <c r="H975" s="5">
        <v>0</v>
      </c>
      <c r="I975" s="5">
        <v>0</v>
      </c>
    </row>
    <row r="976" spans="2:9" x14ac:dyDescent="0.3">
      <c r="B976" s="4" t="s">
        <v>30</v>
      </c>
      <c r="C976" s="5">
        <v>640</v>
      </c>
      <c r="D976" s="5">
        <v>6270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</row>
    <row r="977" spans="2:9" x14ac:dyDescent="0.3">
      <c r="B977" s="4" t="s">
        <v>31</v>
      </c>
      <c r="C977" s="5">
        <v>3423</v>
      </c>
      <c r="D977" s="5">
        <v>1199350</v>
      </c>
      <c r="E977" s="5">
        <v>8286</v>
      </c>
      <c r="F977" s="5">
        <v>2867846</v>
      </c>
      <c r="G977" s="5">
        <v>174275</v>
      </c>
      <c r="H977" s="5">
        <v>0</v>
      </c>
      <c r="I977" s="5">
        <v>6100</v>
      </c>
    </row>
    <row r="978" spans="2:9" ht="15.6" x14ac:dyDescent="0.3">
      <c r="B978" s="18" t="s">
        <v>32</v>
      </c>
      <c r="C978" s="18"/>
      <c r="D978" s="7">
        <f>SUM(D967:D977)</f>
        <v>72710880</v>
      </c>
      <c r="E978" s="8"/>
      <c r="F978" s="7">
        <f>SUM(F967:F977)</f>
        <v>16290410</v>
      </c>
      <c r="G978" s="7">
        <f>SUM(G967:G977)</f>
        <v>6069055</v>
      </c>
      <c r="H978" s="6"/>
      <c r="I978" s="6"/>
    </row>
    <row r="980" spans="2:9" ht="15.6" x14ac:dyDescent="0.3">
      <c r="B980" s="17" t="s">
        <v>100</v>
      </c>
      <c r="C980" s="17"/>
      <c r="D980" s="17"/>
    </row>
    <row r="981" spans="2:9" x14ac:dyDescent="0.3">
      <c r="B981" s="4" t="s">
        <v>15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200</v>
      </c>
      <c r="I981" s="5">
        <v>0</v>
      </c>
    </row>
    <row r="982" spans="2:9" x14ac:dyDescent="0.3">
      <c r="B982" s="4" t="s">
        <v>17</v>
      </c>
      <c r="C982" s="5">
        <v>2050</v>
      </c>
      <c r="D982" s="5">
        <v>524720</v>
      </c>
      <c r="E982" s="5">
        <v>115</v>
      </c>
      <c r="F982" s="5">
        <v>31274</v>
      </c>
      <c r="G982" s="5">
        <v>0</v>
      </c>
      <c r="H982" s="5">
        <v>2000</v>
      </c>
      <c r="I982" s="5">
        <v>0</v>
      </c>
    </row>
    <row r="983" spans="2:9" x14ac:dyDescent="0.3">
      <c r="B983" s="4" t="s">
        <v>18</v>
      </c>
      <c r="C983" s="5">
        <v>11230</v>
      </c>
      <c r="D983" s="5">
        <v>4486260</v>
      </c>
      <c r="E983" s="5">
        <v>250</v>
      </c>
      <c r="F983" s="5">
        <v>104896</v>
      </c>
      <c r="G983" s="5">
        <v>0</v>
      </c>
      <c r="H983" s="5">
        <v>9000</v>
      </c>
      <c r="I983" s="5">
        <v>0</v>
      </c>
    </row>
    <row r="984" spans="2:9" x14ac:dyDescent="0.3">
      <c r="B984" s="4" t="s">
        <v>20</v>
      </c>
      <c r="C984" s="5">
        <v>6700</v>
      </c>
      <c r="D984" s="5">
        <v>90285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</row>
    <row r="985" spans="2:9" x14ac:dyDescent="0.3">
      <c r="B985" s="4" t="s">
        <v>21</v>
      </c>
      <c r="C985" s="5">
        <v>133678</v>
      </c>
      <c r="D985" s="5">
        <v>50520623</v>
      </c>
      <c r="E985" s="5">
        <v>31356</v>
      </c>
      <c r="F985" s="5">
        <v>9505195</v>
      </c>
      <c r="G985" s="5">
        <v>2889505</v>
      </c>
      <c r="H985" s="5">
        <v>103000</v>
      </c>
      <c r="I985" s="5">
        <v>0</v>
      </c>
    </row>
    <row r="986" spans="2:9" x14ac:dyDescent="0.3">
      <c r="B986" s="4" t="s">
        <v>22</v>
      </c>
      <c r="C986" s="5">
        <v>3685</v>
      </c>
      <c r="D986" s="5">
        <v>1629965</v>
      </c>
      <c r="E986" s="5">
        <v>1175</v>
      </c>
      <c r="F986" s="5">
        <v>167790</v>
      </c>
      <c r="G986" s="5">
        <v>377730</v>
      </c>
      <c r="H986" s="5">
        <v>2300</v>
      </c>
      <c r="I986" s="5">
        <v>0</v>
      </c>
    </row>
    <row r="987" spans="2:9" x14ac:dyDescent="0.3">
      <c r="B987" s="4" t="s">
        <v>23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43400500</v>
      </c>
    </row>
    <row r="988" spans="2:9" x14ac:dyDescent="0.3">
      <c r="B988" s="4" t="s">
        <v>26</v>
      </c>
      <c r="C988" s="5">
        <v>50</v>
      </c>
      <c r="D988" s="5">
        <v>4277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</row>
    <row r="989" spans="2:9" x14ac:dyDescent="0.3">
      <c r="B989" s="4" t="s">
        <v>27</v>
      </c>
      <c r="C989" s="5">
        <v>26</v>
      </c>
      <c r="D989" s="5">
        <v>1925</v>
      </c>
      <c r="E989" s="5">
        <v>23072</v>
      </c>
      <c r="F989" s="5">
        <v>1576085</v>
      </c>
      <c r="G989" s="5">
        <v>348205</v>
      </c>
      <c r="H989" s="5">
        <v>0</v>
      </c>
      <c r="I989" s="5">
        <v>26000</v>
      </c>
    </row>
    <row r="990" spans="2:9" x14ac:dyDescent="0.3">
      <c r="B990" s="4" t="s">
        <v>34</v>
      </c>
      <c r="C990" s="5">
        <v>0</v>
      </c>
      <c r="D990" s="5">
        <v>0</v>
      </c>
      <c r="E990" s="5">
        <v>4700</v>
      </c>
      <c r="F990" s="5">
        <v>19035</v>
      </c>
      <c r="G990" s="5">
        <v>0</v>
      </c>
      <c r="H990" s="5">
        <v>0</v>
      </c>
      <c r="I990" s="5">
        <v>50000</v>
      </c>
    </row>
    <row r="991" spans="2:9" x14ac:dyDescent="0.3">
      <c r="B991" s="4" t="s">
        <v>30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5000</v>
      </c>
    </row>
    <row r="992" spans="2:9" x14ac:dyDescent="0.3">
      <c r="B992" s="4" t="s">
        <v>31</v>
      </c>
      <c r="C992" s="5">
        <v>1740</v>
      </c>
      <c r="D992" s="5">
        <v>609300</v>
      </c>
      <c r="E992" s="5">
        <v>1525</v>
      </c>
      <c r="F992" s="5">
        <v>408750</v>
      </c>
      <c r="G992" s="5">
        <v>151655</v>
      </c>
      <c r="H992" s="5">
        <v>0</v>
      </c>
      <c r="I992" s="5">
        <v>0</v>
      </c>
    </row>
    <row r="993" spans="2:9" ht="15.6" x14ac:dyDescent="0.3">
      <c r="B993" s="18" t="s">
        <v>32</v>
      </c>
      <c r="C993" s="18"/>
      <c r="D993" s="7">
        <f>SUM(D981:D992)</f>
        <v>57867355</v>
      </c>
      <c r="E993" s="8"/>
      <c r="F993" s="7">
        <f>SUM(F981:F992)</f>
        <v>11813025</v>
      </c>
      <c r="G993" s="7">
        <f>SUM(G981:G992)</f>
        <v>3767095</v>
      </c>
      <c r="H993" s="6"/>
      <c r="I993" s="6"/>
    </row>
    <row r="995" spans="2:9" ht="15.6" x14ac:dyDescent="0.3">
      <c r="B995" s="17" t="s">
        <v>101</v>
      </c>
      <c r="C995" s="17"/>
      <c r="D995" s="17"/>
    </row>
    <row r="996" spans="2:9" x14ac:dyDescent="0.3">
      <c r="B996" s="4" t="s">
        <v>15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29200</v>
      </c>
      <c r="I996" s="5">
        <v>29200</v>
      </c>
    </row>
    <row r="997" spans="2:9" x14ac:dyDescent="0.3">
      <c r="B997" s="4" t="s">
        <v>16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1200</v>
      </c>
      <c r="I997" s="5">
        <v>1200</v>
      </c>
    </row>
    <row r="998" spans="2:9" x14ac:dyDescent="0.3">
      <c r="B998" s="4" t="s">
        <v>17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13000</v>
      </c>
      <c r="I998" s="5">
        <v>11200</v>
      </c>
    </row>
    <row r="999" spans="2:9" x14ac:dyDescent="0.3">
      <c r="B999" s="4" t="s">
        <v>18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132500</v>
      </c>
      <c r="I999" s="5">
        <v>126000</v>
      </c>
    </row>
    <row r="1000" spans="2:9" x14ac:dyDescent="0.3">
      <c r="B1000" s="4" t="s">
        <v>20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55000</v>
      </c>
      <c r="I1000" s="5">
        <v>35000</v>
      </c>
    </row>
    <row r="1001" spans="2:9" x14ac:dyDescent="0.3">
      <c r="B1001" s="4" t="s">
        <v>21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1418000</v>
      </c>
      <c r="I1001" s="5">
        <v>1364500</v>
      </c>
    </row>
    <row r="1002" spans="2:9" x14ac:dyDescent="0.3">
      <c r="B1002" s="4" t="s">
        <v>22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30500</v>
      </c>
      <c r="I1002" s="5">
        <v>37700</v>
      </c>
    </row>
    <row r="1003" spans="2:9" x14ac:dyDescent="0.3">
      <c r="B1003" s="4" t="s">
        <v>23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705176890</v>
      </c>
      <c r="I1003" s="5">
        <v>722339475</v>
      </c>
    </row>
    <row r="1004" spans="2:9" x14ac:dyDescent="0.3">
      <c r="B1004" s="4" t="s">
        <v>36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2000</v>
      </c>
      <c r="I1004" s="5">
        <v>0</v>
      </c>
    </row>
    <row r="1005" spans="2:9" x14ac:dyDescent="0.3">
      <c r="B1005" s="4" t="s">
        <v>26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33000</v>
      </c>
      <c r="I1005" s="5">
        <v>30000</v>
      </c>
    </row>
    <row r="1006" spans="2:9" x14ac:dyDescent="0.3">
      <c r="B1006" s="4" t="s">
        <v>27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67000</v>
      </c>
      <c r="I1006" s="5">
        <v>60000</v>
      </c>
    </row>
    <row r="1007" spans="2:9" x14ac:dyDescent="0.3">
      <c r="B1007" s="4" t="s">
        <v>34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200000</v>
      </c>
      <c r="I1007" s="5">
        <v>0</v>
      </c>
    </row>
    <row r="1008" spans="2:9" x14ac:dyDescent="0.3">
      <c r="B1008" s="4" t="s">
        <v>29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90000</v>
      </c>
      <c r="I1008" s="5">
        <v>80000</v>
      </c>
    </row>
    <row r="1009" spans="2:9" x14ac:dyDescent="0.3">
      <c r="B1009" s="4" t="s">
        <v>30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65000</v>
      </c>
      <c r="I1009" s="5">
        <v>40000</v>
      </c>
    </row>
    <row r="1010" spans="2:9" x14ac:dyDescent="0.3">
      <c r="B1010" s="4" t="s">
        <v>31</v>
      </c>
      <c r="C1010" s="5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50900</v>
      </c>
      <c r="I1010" s="5">
        <v>68500</v>
      </c>
    </row>
    <row r="1011" spans="2:9" ht="15.6" x14ac:dyDescent="0.3">
      <c r="B1011" s="18" t="s">
        <v>32</v>
      </c>
      <c r="C1011" s="18"/>
      <c r="D1011" s="7">
        <f>SUM(D996:D1010)</f>
        <v>0</v>
      </c>
      <c r="E1011" s="8"/>
      <c r="F1011" s="7">
        <f>SUM(F996:F1010)</f>
        <v>0</v>
      </c>
      <c r="G1011" s="7">
        <f>SUM(G996:G1010)</f>
        <v>0</v>
      </c>
      <c r="H1011" s="6"/>
      <c r="I1011" s="6"/>
    </row>
    <row r="1013" spans="2:9" ht="15.6" x14ac:dyDescent="0.3">
      <c r="B1013" s="17" t="s">
        <v>102</v>
      </c>
      <c r="C1013" s="17"/>
      <c r="D1013" s="17"/>
    </row>
    <row r="1014" spans="2:9" x14ac:dyDescent="0.3">
      <c r="B1014" s="4" t="s">
        <v>15</v>
      </c>
      <c r="C1014" s="5">
        <v>1020</v>
      </c>
      <c r="D1014" s="5">
        <v>229245</v>
      </c>
      <c r="E1014" s="5">
        <v>220</v>
      </c>
      <c r="F1014" s="5">
        <v>28903</v>
      </c>
      <c r="G1014" s="5">
        <v>24080</v>
      </c>
      <c r="H1014" s="5">
        <v>1500</v>
      </c>
      <c r="I1014" s="5">
        <v>0</v>
      </c>
    </row>
    <row r="1015" spans="2:9" x14ac:dyDescent="0.3">
      <c r="B1015" s="4" t="s">
        <v>48</v>
      </c>
      <c r="C1015" s="5">
        <v>240</v>
      </c>
      <c r="D1015" s="5">
        <v>47281</v>
      </c>
      <c r="E1015" s="5">
        <v>50</v>
      </c>
      <c r="F1015" s="5">
        <v>10735</v>
      </c>
      <c r="G1015" s="5">
        <v>0</v>
      </c>
      <c r="H1015" s="5">
        <v>0</v>
      </c>
      <c r="I1015" s="5">
        <v>0</v>
      </c>
    </row>
    <row r="1016" spans="2:9" x14ac:dyDescent="0.3">
      <c r="B1016" s="4" t="s">
        <v>38</v>
      </c>
      <c r="C1016" s="5">
        <v>40</v>
      </c>
      <c r="D1016" s="5">
        <v>7480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</row>
    <row r="1017" spans="2:9" x14ac:dyDescent="0.3">
      <c r="B1017" s="4" t="s">
        <v>17</v>
      </c>
      <c r="C1017" s="5">
        <v>900</v>
      </c>
      <c r="D1017" s="5">
        <v>231275</v>
      </c>
      <c r="E1017" s="5">
        <v>0</v>
      </c>
      <c r="F1017" s="5">
        <v>0</v>
      </c>
      <c r="G1017" s="5">
        <v>0</v>
      </c>
      <c r="H1017" s="5">
        <v>900</v>
      </c>
      <c r="I1017" s="5">
        <v>0</v>
      </c>
    </row>
    <row r="1018" spans="2:9" x14ac:dyDescent="0.3">
      <c r="B1018" s="4" t="s">
        <v>18</v>
      </c>
      <c r="C1018" s="5">
        <v>20530</v>
      </c>
      <c r="D1018" s="5">
        <v>8309073</v>
      </c>
      <c r="E1018" s="5">
        <v>10700</v>
      </c>
      <c r="F1018" s="5">
        <v>2245452</v>
      </c>
      <c r="G1018" s="5">
        <v>2163873</v>
      </c>
      <c r="H1018" s="5">
        <v>14000</v>
      </c>
      <c r="I1018" s="5">
        <v>2500</v>
      </c>
    </row>
    <row r="1019" spans="2:9" x14ac:dyDescent="0.3">
      <c r="B1019" s="4" t="s">
        <v>20</v>
      </c>
      <c r="C1019" s="5">
        <v>25400</v>
      </c>
      <c r="D1019" s="5">
        <v>366930</v>
      </c>
      <c r="E1019" s="5">
        <v>3700</v>
      </c>
      <c r="F1019" s="5">
        <v>50700</v>
      </c>
      <c r="G1019" s="5">
        <v>9715</v>
      </c>
      <c r="H1019" s="5">
        <v>15000</v>
      </c>
      <c r="I1019" s="5">
        <v>0</v>
      </c>
    </row>
    <row r="1020" spans="2:9" x14ac:dyDescent="0.3">
      <c r="B1020" s="4" t="s">
        <v>21</v>
      </c>
      <c r="C1020" s="5">
        <v>213183</v>
      </c>
      <c r="D1020" s="5">
        <v>81610559</v>
      </c>
      <c r="E1020" s="5">
        <v>108291</v>
      </c>
      <c r="F1020" s="5">
        <v>24176278</v>
      </c>
      <c r="G1020" s="5">
        <v>18029381</v>
      </c>
      <c r="H1020" s="5">
        <v>131500</v>
      </c>
      <c r="I1020" s="5">
        <v>22000</v>
      </c>
    </row>
    <row r="1021" spans="2:9" x14ac:dyDescent="0.3">
      <c r="B1021" s="4" t="s">
        <v>22</v>
      </c>
      <c r="C1021" s="5">
        <v>1730</v>
      </c>
      <c r="D1021" s="5">
        <v>767112</v>
      </c>
      <c r="E1021" s="5">
        <v>5290</v>
      </c>
      <c r="F1021" s="5">
        <v>933720</v>
      </c>
      <c r="G1021" s="5">
        <v>1486390</v>
      </c>
      <c r="H1021" s="5">
        <v>1500</v>
      </c>
      <c r="I1021" s="5">
        <v>5500</v>
      </c>
    </row>
    <row r="1022" spans="2:9" x14ac:dyDescent="0.3">
      <c r="B1022" s="4" t="s">
        <v>23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4000000</v>
      </c>
      <c r="I1022" s="5">
        <v>73666300</v>
      </c>
    </row>
    <row r="1023" spans="2:9" x14ac:dyDescent="0.3">
      <c r="B1023" s="4" t="s">
        <v>36</v>
      </c>
      <c r="C1023" s="5">
        <v>200</v>
      </c>
      <c r="D1023" s="5">
        <v>17600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</row>
    <row r="1024" spans="2:9" x14ac:dyDescent="0.3">
      <c r="B1024" s="4" t="s">
        <v>25</v>
      </c>
      <c r="C1024" s="5">
        <v>0</v>
      </c>
      <c r="D1024" s="5">
        <v>0</v>
      </c>
      <c r="E1024" s="5">
        <v>130</v>
      </c>
      <c r="F1024" s="5">
        <v>29887</v>
      </c>
      <c r="G1024" s="5">
        <v>0</v>
      </c>
      <c r="H1024" s="5">
        <v>0</v>
      </c>
      <c r="I1024" s="5">
        <v>0</v>
      </c>
    </row>
    <row r="1025" spans="2:9" x14ac:dyDescent="0.3">
      <c r="B1025" s="4" t="s">
        <v>26</v>
      </c>
      <c r="C1025" s="5">
        <v>0</v>
      </c>
      <c r="D1025" s="5">
        <v>0</v>
      </c>
      <c r="E1025" s="5">
        <v>2200</v>
      </c>
      <c r="F1025" s="5">
        <v>45765</v>
      </c>
      <c r="G1025" s="5">
        <v>163990</v>
      </c>
      <c r="H1025" s="5">
        <v>0</v>
      </c>
      <c r="I1025" s="5">
        <v>0</v>
      </c>
    </row>
    <row r="1026" spans="2:9" x14ac:dyDescent="0.3">
      <c r="B1026" s="4" t="s">
        <v>27</v>
      </c>
      <c r="C1026" s="5">
        <v>5126</v>
      </c>
      <c r="D1026" s="5">
        <v>377854</v>
      </c>
      <c r="E1026" s="5">
        <v>4307</v>
      </c>
      <c r="F1026" s="5">
        <v>144963</v>
      </c>
      <c r="G1026" s="5">
        <v>208817</v>
      </c>
      <c r="H1026" s="5">
        <v>0</v>
      </c>
      <c r="I1026" s="5">
        <v>0</v>
      </c>
    </row>
    <row r="1027" spans="2:9" x14ac:dyDescent="0.3">
      <c r="B1027" s="4" t="s">
        <v>34</v>
      </c>
      <c r="C1027" s="5">
        <v>32580</v>
      </c>
      <c r="D1027" s="5">
        <v>97740</v>
      </c>
      <c r="E1027" s="5">
        <v>21750</v>
      </c>
      <c r="F1027" s="5">
        <v>88090</v>
      </c>
      <c r="G1027" s="5">
        <v>0</v>
      </c>
      <c r="H1027" s="5">
        <v>0</v>
      </c>
      <c r="I1027" s="5">
        <v>0</v>
      </c>
    </row>
    <row r="1028" spans="2:9" x14ac:dyDescent="0.3">
      <c r="B1028" s="4" t="s">
        <v>30</v>
      </c>
      <c r="C1028" s="5">
        <v>9505</v>
      </c>
      <c r="D1028" s="5">
        <v>85545</v>
      </c>
      <c r="E1028" s="5">
        <v>2720</v>
      </c>
      <c r="F1028" s="5">
        <v>0</v>
      </c>
      <c r="G1028" s="5">
        <v>39770</v>
      </c>
      <c r="H1028" s="5">
        <v>0</v>
      </c>
      <c r="I1028" s="5">
        <v>0</v>
      </c>
    </row>
    <row r="1029" spans="2:9" x14ac:dyDescent="0.3">
      <c r="B1029" s="4" t="s">
        <v>31</v>
      </c>
      <c r="C1029" s="5">
        <v>19277</v>
      </c>
      <c r="D1029" s="5">
        <v>6835756</v>
      </c>
      <c r="E1029" s="5">
        <v>16765</v>
      </c>
      <c r="F1029" s="5">
        <v>2980372</v>
      </c>
      <c r="G1029" s="5">
        <v>3094924</v>
      </c>
      <c r="H1029" s="5">
        <v>7500</v>
      </c>
      <c r="I1029" s="5">
        <v>6700</v>
      </c>
    </row>
    <row r="1030" spans="2:9" ht="15.6" x14ac:dyDescent="0.3">
      <c r="B1030" s="18" t="s">
        <v>32</v>
      </c>
      <c r="C1030" s="18"/>
      <c r="D1030" s="7">
        <f>SUM(D1014:D1029)</f>
        <v>98983450</v>
      </c>
      <c r="E1030" s="8"/>
      <c r="F1030" s="7">
        <f>SUM(F1014:F1029)</f>
        <v>30734865</v>
      </c>
      <c r="G1030" s="7">
        <f>SUM(G1014:G1029)</f>
        <v>25220940</v>
      </c>
      <c r="H1030" s="6"/>
      <c r="I1030" s="6"/>
    </row>
    <row r="1032" spans="2:9" ht="15.6" x14ac:dyDescent="0.3">
      <c r="B1032" s="17" t="s">
        <v>103</v>
      </c>
      <c r="C1032" s="17"/>
      <c r="D1032" s="17"/>
    </row>
    <row r="1033" spans="2:9" x14ac:dyDescent="0.3">
      <c r="B1033" s="4" t="s">
        <v>15</v>
      </c>
      <c r="C1033" s="5">
        <v>50</v>
      </c>
      <c r="D1033" s="5">
        <v>11160</v>
      </c>
      <c r="E1033" s="5">
        <v>120</v>
      </c>
      <c r="F1033" s="5">
        <v>2376</v>
      </c>
      <c r="G1033" s="5">
        <v>26560</v>
      </c>
      <c r="H1033" s="5">
        <v>100</v>
      </c>
      <c r="I1033" s="5">
        <v>100</v>
      </c>
    </row>
    <row r="1034" spans="2:9" x14ac:dyDescent="0.3">
      <c r="B1034" s="4" t="s">
        <v>48</v>
      </c>
      <c r="C1034" s="5">
        <v>0</v>
      </c>
      <c r="D1034" s="5">
        <v>0</v>
      </c>
      <c r="E1034" s="5">
        <v>400</v>
      </c>
      <c r="F1034" s="5">
        <v>0</v>
      </c>
      <c r="G1034" s="5">
        <v>85880</v>
      </c>
      <c r="H1034" s="5">
        <v>0</v>
      </c>
      <c r="I1034" s="5">
        <v>0</v>
      </c>
    </row>
    <row r="1035" spans="2:9" x14ac:dyDescent="0.3">
      <c r="B1035" s="4" t="s">
        <v>38</v>
      </c>
      <c r="C1035" s="5">
        <v>0</v>
      </c>
      <c r="D1035" s="5">
        <v>0</v>
      </c>
      <c r="E1035" s="5">
        <v>5</v>
      </c>
      <c r="F1035" s="5">
        <v>1057</v>
      </c>
      <c r="G1035" s="5">
        <v>0</v>
      </c>
      <c r="H1035" s="5">
        <v>0</v>
      </c>
      <c r="I1035" s="5">
        <v>0</v>
      </c>
    </row>
    <row r="1036" spans="2:9" x14ac:dyDescent="0.3">
      <c r="B1036" s="4" t="s">
        <v>16</v>
      </c>
      <c r="C1036" s="5">
        <v>0</v>
      </c>
      <c r="D1036" s="5">
        <v>0</v>
      </c>
      <c r="E1036" s="5">
        <v>22</v>
      </c>
      <c r="F1036" s="5">
        <v>1850</v>
      </c>
      <c r="G1036" s="5">
        <v>0</v>
      </c>
      <c r="H1036" s="5">
        <v>1200</v>
      </c>
      <c r="I1036" s="5">
        <v>0</v>
      </c>
    </row>
    <row r="1037" spans="2:9" x14ac:dyDescent="0.3">
      <c r="B1037" s="4" t="s">
        <v>17</v>
      </c>
      <c r="C1037" s="5">
        <v>2200</v>
      </c>
      <c r="D1037" s="5">
        <v>555270</v>
      </c>
      <c r="E1037" s="5">
        <v>65</v>
      </c>
      <c r="F1037" s="5">
        <v>4059</v>
      </c>
      <c r="G1037" s="5">
        <v>13570</v>
      </c>
      <c r="H1037" s="5">
        <v>1800</v>
      </c>
      <c r="I1037" s="5">
        <v>0</v>
      </c>
    </row>
    <row r="1038" spans="2:9" x14ac:dyDescent="0.3">
      <c r="B1038" s="4" t="s">
        <v>18</v>
      </c>
      <c r="C1038" s="5">
        <v>21840</v>
      </c>
      <c r="D1038" s="5">
        <v>8834324</v>
      </c>
      <c r="E1038" s="5">
        <v>2710</v>
      </c>
      <c r="F1038" s="5">
        <v>227824</v>
      </c>
      <c r="G1038" s="5">
        <v>895945</v>
      </c>
      <c r="H1038" s="5">
        <v>20000</v>
      </c>
      <c r="I1038" s="5">
        <v>0</v>
      </c>
    </row>
    <row r="1039" spans="2:9" x14ac:dyDescent="0.3">
      <c r="B1039" s="4" t="s">
        <v>19</v>
      </c>
      <c r="C1039" s="5">
        <v>959</v>
      </c>
      <c r="D1039" s="5">
        <v>38535</v>
      </c>
      <c r="E1039" s="5">
        <v>1351</v>
      </c>
      <c r="F1039" s="5">
        <v>57457</v>
      </c>
      <c r="G1039" s="5">
        <v>20090</v>
      </c>
      <c r="H1039" s="5">
        <v>0</v>
      </c>
      <c r="I1039" s="5">
        <v>0</v>
      </c>
    </row>
    <row r="1040" spans="2:9" x14ac:dyDescent="0.3">
      <c r="B1040" s="4" t="s">
        <v>20</v>
      </c>
      <c r="C1040" s="5">
        <v>7100</v>
      </c>
      <c r="D1040" s="5">
        <v>102950</v>
      </c>
      <c r="E1040" s="5">
        <v>28600</v>
      </c>
      <c r="F1040" s="5">
        <v>379391</v>
      </c>
      <c r="G1040" s="5">
        <v>86340</v>
      </c>
      <c r="H1040" s="5">
        <v>0</v>
      </c>
      <c r="I1040" s="5">
        <v>30000</v>
      </c>
    </row>
    <row r="1041" spans="2:9" x14ac:dyDescent="0.3">
      <c r="B1041" s="4" t="s">
        <v>21</v>
      </c>
      <c r="C1041" s="5">
        <v>490468</v>
      </c>
      <c r="D1041" s="5">
        <v>187836837</v>
      </c>
      <c r="E1041" s="5">
        <v>120616</v>
      </c>
      <c r="F1041" s="5">
        <v>29388506</v>
      </c>
      <c r="G1041" s="5">
        <v>17777529</v>
      </c>
      <c r="H1041" s="5">
        <v>375100</v>
      </c>
      <c r="I1041" s="5">
        <v>70</v>
      </c>
    </row>
    <row r="1042" spans="2:9" x14ac:dyDescent="0.3">
      <c r="B1042" s="4" t="s">
        <v>22</v>
      </c>
      <c r="C1042" s="5">
        <v>17890</v>
      </c>
      <c r="D1042" s="5">
        <v>8032450</v>
      </c>
      <c r="E1042" s="5">
        <v>8025</v>
      </c>
      <c r="F1042" s="5">
        <v>1480338</v>
      </c>
      <c r="G1042" s="5">
        <v>2192165</v>
      </c>
      <c r="H1042" s="5">
        <v>9500</v>
      </c>
      <c r="I1042" s="5">
        <v>1000</v>
      </c>
    </row>
    <row r="1043" spans="2:9" x14ac:dyDescent="0.3">
      <c r="B1043" s="4" t="s">
        <v>23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182614750</v>
      </c>
    </row>
    <row r="1044" spans="2:9" x14ac:dyDescent="0.3">
      <c r="B1044" s="4" t="s">
        <v>36</v>
      </c>
      <c r="C1044" s="5">
        <v>490</v>
      </c>
      <c r="D1044" s="5">
        <v>43120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</row>
    <row r="1045" spans="2:9" x14ac:dyDescent="0.3">
      <c r="B1045" s="4" t="s">
        <v>24</v>
      </c>
      <c r="C1045" s="5">
        <v>36000</v>
      </c>
      <c r="D1045" s="5">
        <v>81935</v>
      </c>
      <c r="E1045" s="5">
        <v>40000</v>
      </c>
      <c r="F1045" s="5">
        <v>105520</v>
      </c>
      <c r="G1045" s="5">
        <v>0</v>
      </c>
      <c r="H1045" s="5">
        <v>0</v>
      </c>
      <c r="I1045" s="5">
        <v>0</v>
      </c>
    </row>
    <row r="1046" spans="2:9" x14ac:dyDescent="0.3">
      <c r="B1046" s="4" t="s">
        <v>26</v>
      </c>
      <c r="C1046" s="5">
        <v>200</v>
      </c>
      <c r="D1046" s="5">
        <v>17160</v>
      </c>
      <c r="E1046" s="5">
        <v>11860</v>
      </c>
      <c r="F1046" s="5">
        <v>454601</v>
      </c>
      <c r="G1046" s="5">
        <v>632231</v>
      </c>
      <c r="H1046" s="5">
        <v>0</v>
      </c>
      <c r="I1046" s="5">
        <v>13000</v>
      </c>
    </row>
    <row r="1047" spans="2:9" x14ac:dyDescent="0.3">
      <c r="B1047" s="4" t="s">
        <v>27</v>
      </c>
      <c r="C1047" s="5">
        <v>49340</v>
      </c>
      <c r="D1047" s="5">
        <v>3676566</v>
      </c>
      <c r="E1047" s="5">
        <v>12367</v>
      </c>
      <c r="F1047" s="5">
        <v>685127</v>
      </c>
      <c r="G1047" s="5">
        <v>305353</v>
      </c>
      <c r="H1047" s="5">
        <v>40000</v>
      </c>
      <c r="I1047" s="5">
        <v>5000</v>
      </c>
    </row>
    <row r="1048" spans="2:9" x14ac:dyDescent="0.3">
      <c r="B1048" s="4" t="s">
        <v>34</v>
      </c>
      <c r="C1048" s="5">
        <v>16770</v>
      </c>
      <c r="D1048" s="5">
        <v>50308</v>
      </c>
      <c r="E1048" s="5">
        <v>45410</v>
      </c>
      <c r="F1048" s="5">
        <v>102911</v>
      </c>
      <c r="G1048" s="5">
        <v>81000</v>
      </c>
      <c r="H1048" s="5">
        <v>0</v>
      </c>
      <c r="I1048" s="5">
        <v>0</v>
      </c>
    </row>
    <row r="1049" spans="2:9" x14ac:dyDescent="0.3">
      <c r="B1049" s="4" t="s">
        <v>29</v>
      </c>
      <c r="C1049" s="5">
        <v>3060</v>
      </c>
      <c r="D1049" s="5">
        <v>21420</v>
      </c>
      <c r="E1049" s="5">
        <v>5840</v>
      </c>
      <c r="F1049" s="5">
        <v>81350</v>
      </c>
      <c r="G1049" s="5">
        <v>0</v>
      </c>
      <c r="H1049" s="5">
        <v>0</v>
      </c>
      <c r="I1049" s="5">
        <v>0</v>
      </c>
    </row>
    <row r="1050" spans="2:9" x14ac:dyDescent="0.3">
      <c r="B1050" s="4" t="s">
        <v>30</v>
      </c>
      <c r="C1050" s="5">
        <v>2665</v>
      </c>
      <c r="D1050" s="5">
        <v>26500</v>
      </c>
      <c r="E1050" s="5">
        <v>20805</v>
      </c>
      <c r="F1050" s="5">
        <v>126567</v>
      </c>
      <c r="G1050" s="5">
        <v>175285</v>
      </c>
      <c r="H1050" s="5">
        <v>0</v>
      </c>
      <c r="I1050" s="5">
        <v>10000</v>
      </c>
    </row>
    <row r="1051" spans="2:9" x14ac:dyDescent="0.3">
      <c r="B1051" s="4" t="s">
        <v>31</v>
      </c>
      <c r="C1051" s="5">
        <v>25305</v>
      </c>
      <c r="D1051" s="5">
        <v>8948935</v>
      </c>
      <c r="E1051" s="5">
        <v>16561</v>
      </c>
      <c r="F1051" s="5">
        <v>4379586</v>
      </c>
      <c r="G1051" s="5">
        <v>1647052</v>
      </c>
      <c r="H1051" s="5">
        <v>10000</v>
      </c>
      <c r="I1051" s="5">
        <v>1500</v>
      </c>
    </row>
    <row r="1052" spans="2:9" ht="15.6" x14ac:dyDescent="0.3">
      <c r="B1052" s="18" t="s">
        <v>32</v>
      </c>
      <c r="C1052" s="18"/>
      <c r="D1052" s="7">
        <f>SUM(D1033:D1051)</f>
        <v>218277470</v>
      </c>
      <c r="E1052" s="8"/>
      <c r="F1052" s="7">
        <f>SUM(F1033:F1051)</f>
        <v>37478520</v>
      </c>
      <c r="G1052" s="7">
        <f>SUM(G1033:G1051)</f>
        <v>23939000</v>
      </c>
      <c r="H1052" s="6"/>
      <c r="I1052" s="6"/>
    </row>
    <row r="1054" spans="2:9" ht="15.6" x14ac:dyDescent="0.3">
      <c r="B1054" s="17" t="s">
        <v>104</v>
      </c>
      <c r="C1054" s="17"/>
      <c r="D1054" s="17"/>
    </row>
    <row r="1055" spans="2:9" x14ac:dyDescent="0.3">
      <c r="B1055" s="4" t="s">
        <v>15</v>
      </c>
      <c r="C1055" s="5">
        <v>0</v>
      </c>
      <c r="D1055" s="5">
        <v>0</v>
      </c>
      <c r="E1055" s="5">
        <v>50</v>
      </c>
      <c r="F1055" s="5">
        <v>0</v>
      </c>
      <c r="G1055" s="5">
        <v>12025</v>
      </c>
      <c r="H1055" s="5">
        <v>0</v>
      </c>
      <c r="I1055" s="5">
        <v>50</v>
      </c>
    </row>
    <row r="1056" spans="2:9" x14ac:dyDescent="0.3">
      <c r="B1056" s="4" t="s">
        <v>48</v>
      </c>
      <c r="C1056" s="5">
        <v>0</v>
      </c>
      <c r="D1056" s="5">
        <v>0</v>
      </c>
      <c r="E1056" s="5">
        <v>10</v>
      </c>
      <c r="F1056" s="5">
        <v>2145</v>
      </c>
      <c r="G1056" s="5">
        <v>0</v>
      </c>
      <c r="H1056" s="5">
        <v>0</v>
      </c>
      <c r="I1056" s="5">
        <v>0</v>
      </c>
    </row>
    <row r="1057" spans="2:9" x14ac:dyDescent="0.3">
      <c r="B1057" s="4" t="s">
        <v>17</v>
      </c>
      <c r="C1057" s="5">
        <v>600</v>
      </c>
      <c r="D1057" s="5">
        <v>150575</v>
      </c>
      <c r="E1057" s="5">
        <v>0</v>
      </c>
      <c r="F1057" s="5">
        <v>0</v>
      </c>
      <c r="G1057" s="5">
        <v>0</v>
      </c>
      <c r="H1057" s="5">
        <v>500</v>
      </c>
      <c r="I1057" s="5">
        <v>0</v>
      </c>
    </row>
    <row r="1058" spans="2:9" x14ac:dyDescent="0.3">
      <c r="B1058" s="4" t="s">
        <v>18</v>
      </c>
      <c r="C1058" s="5">
        <v>10540</v>
      </c>
      <c r="D1058" s="5">
        <v>4275230</v>
      </c>
      <c r="E1058" s="5">
        <v>1460</v>
      </c>
      <c r="F1058" s="5">
        <v>420310</v>
      </c>
      <c r="G1058" s="5">
        <v>187070</v>
      </c>
      <c r="H1058" s="5">
        <v>9000</v>
      </c>
      <c r="I1058" s="5">
        <v>0</v>
      </c>
    </row>
    <row r="1059" spans="2:9" x14ac:dyDescent="0.3">
      <c r="B1059" s="4" t="s">
        <v>19</v>
      </c>
      <c r="C1059" s="5">
        <v>500</v>
      </c>
      <c r="D1059" s="5">
        <v>20090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</row>
    <row r="1060" spans="2:9" x14ac:dyDescent="0.3">
      <c r="B1060" s="4" t="s">
        <v>20</v>
      </c>
      <c r="C1060" s="5">
        <v>10000</v>
      </c>
      <c r="D1060" s="5">
        <v>145000</v>
      </c>
      <c r="E1060" s="5">
        <v>7600</v>
      </c>
      <c r="F1060" s="5">
        <v>0</v>
      </c>
      <c r="G1060" s="5">
        <v>123195</v>
      </c>
      <c r="H1060" s="5">
        <v>0</v>
      </c>
      <c r="I1060" s="5">
        <v>0</v>
      </c>
    </row>
    <row r="1061" spans="2:9" x14ac:dyDescent="0.3">
      <c r="B1061" s="4" t="s">
        <v>21</v>
      </c>
      <c r="C1061" s="5">
        <v>80033</v>
      </c>
      <c r="D1061" s="5">
        <v>30596688</v>
      </c>
      <c r="E1061" s="5">
        <v>42286</v>
      </c>
      <c r="F1061" s="5">
        <v>10298840</v>
      </c>
      <c r="G1061" s="5">
        <v>6270250</v>
      </c>
      <c r="H1061" s="5">
        <v>38000</v>
      </c>
      <c r="I1061" s="5">
        <v>0</v>
      </c>
    </row>
    <row r="1062" spans="2:9" x14ac:dyDescent="0.3">
      <c r="B1062" s="4" t="s">
        <v>22</v>
      </c>
      <c r="C1062" s="5">
        <v>1390</v>
      </c>
      <c r="D1062" s="5">
        <v>625391</v>
      </c>
      <c r="E1062" s="5">
        <v>1985</v>
      </c>
      <c r="F1062" s="5">
        <v>819865</v>
      </c>
      <c r="G1062" s="5">
        <v>92740</v>
      </c>
      <c r="H1062" s="5">
        <v>0</v>
      </c>
      <c r="I1062" s="5">
        <v>1500</v>
      </c>
    </row>
    <row r="1063" spans="2:9" x14ac:dyDescent="0.3">
      <c r="B1063" s="4" t="s">
        <v>23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24000000</v>
      </c>
    </row>
    <row r="1064" spans="2:9" x14ac:dyDescent="0.3">
      <c r="B1064" s="4" t="s">
        <v>24</v>
      </c>
      <c r="C1064" s="5">
        <v>8000</v>
      </c>
      <c r="D1064" s="5">
        <v>18190</v>
      </c>
      <c r="E1064" s="5">
        <v>8000</v>
      </c>
      <c r="F1064" s="5">
        <v>21055</v>
      </c>
      <c r="G1064" s="5">
        <v>0</v>
      </c>
      <c r="H1064" s="5">
        <v>0</v>
      </c>
      <c r="I1064" s="5">
        <v>0</v>
      </c>
    </row>
    <row r="1065" spans="2:9" x14ac:dyDescent="0.3">
      <c r="B1065" s="4" t="s">
        <v>45</v>
      </c>
      <c r="C1065" s="5">
        <v>0</v>
      </c>
      <c r="D1065" s="5">
        <v>0</v>
      </c>
      <c r="E1065" s="5">
        <v>1470</v>
      </c>
      <c r="F1065" s="5">
        <v>0</v>
      </c>
      <c r="G1065" s="5">
        <v>41895</v>
      </c>
      <c r="H1065" s="5">
        <v>0</v>
      </c>
      <c r="I1065" s="5">
        <v>0</v>
      </c>
    </row>
    <row r="1066" spans="2:9" x14ac:dyDescent="0.3">
      <c r="B1066" s="4" t="s">
        <v>26</v>
      </c>
      <c r="C1066" s="5">
        <v>30</v>
      </c>
      <c r="D1066" s="5">
        <v>2575</v>
      </c>
      <c r="E1066" s="5">
        <v>8180</v>
      </c>
      <c r="F1066" s="5">
        <v>87705</v>
      </c>
      <c r="G1066" s="5">
        <v>663705</v>
      </c>
      <c r="H1066" s="5">
        <v>0</v>
      </c>
      <c r="I1066" s="5">
        <v>7000</v>
      </c>
    </row>
    <row r="1067" spans="2:9" x14ac:dyDescent="0.3">
      <c r="B1067" s="4" t="s">
        <v>27</v>
      </c>
      <c r="C1067" s="5">
        <v>1083</v>
      </c>
      <c r="D1067" s="5">
        <v>80520</v>
      </c>
      <c r="E1067" s="5">
        <v>4837</v>
      </c>
      <c r="F1067" s="5">
        <v>308890</v>
      </c>
      <c r="G1067" s="5">
        <v>79790</v>
      </c>
      <c r="H1067" s="5">
        <v>0</v>
      </c>
      <c r="I1067" s="5">
        <v>3000</v>
      </c>
    </row>
    <row r="1068" spans="2:9" x14ac:dyDescent="0.3">
      <c r="B1068" s="4" t="s">
        <v>34</v>
      </c>
      <c r="C1068" s="5">
        <v>6330</v>
      </c>
      <c r="D1068" s="5">
        <v>18990</v>
      </c>
      <c r="E1068" s="5">
        <v>18610</v>
      </c>
      <c r="F1068" s="5">
        <v>66420</v>
      </c>
      <c r="G1068" s="5">
        <v>8950</v>
      </c>
      <c r="H1068" s="5">
        <v>0</v>
      </c>
      <c r="I1068" s="5">
        <v>0</v>
      </c>
    </row>
    <row r="1069" spans="2:9" x14ac:dyDescent="0.3">
      <c r="B1069" s="4" t="s">
        <v>29</v>
      </c>
      <c r="C1069" s="5">
        <v>1660</v>
      </c>
      <c r="D1069" s="5">
        <v>11620</v>
      </c>
      <c r="E1069" s="5">
        <v>1640</v>
      </c>
      <c r="F1069" s="5">
        <v>0</v>
      </c>
      <c r="G1069" s="5">
        <v>22845</v>
      </c>
      <c r="H1069" s="5">
        <v>0</v>
      </c>
      <c r="I1069" s="5">
        <v>0</v>
      </c>
    </row>
    <row r="1070" spans="2:9" x14ac:dyDescent="0.3">
      <c r="B1070" s="4" t="s">
        <v>30</v>
      </c>
      <c r="C1070" s="5">
        <v>200</v>
      </c>
      <c r="D1070" s="5">
        <v>1900</v>
      </c>
      <c r="E1070" s="5">
        <v>5220</v>
      </c>
      <c r="F1070" s="5">
        <v>77520</v>
      </c>
      <c r="G1070" s="5">
        <v>0</v>
      </c>
      <c r="H1070" s="5">
        <v>0</v>
      </c>
      <c r="I1070" s="5">
        <v>5000</v>
      </c>
    </row>
    <row r="1071" spans="2:9" x14ac:dyDescent="0.3">
      <c r="B1071" s="4" t="s">
        <v>31</v>
      </c>
      <c r="C1071" s="5">
        <v>9312</v>
      </c>
      <c r="D1071" s="5">
        <v>3300071</v>
      </c>
      <c r="E1071" s="5">
        <v>9643</v>
      </c>
      <c r="F1071" s="5">
        <v>2297935</v>
      </c>
      <c r="G1071" s="5">
        <v>1222875</v>
      </c>
      <c r="H1071" s="5">
        <v>2000</v>
      </c>
      <c r="I1071" s="5">
        <v>4000</v>
      </c>
    </row>
    <row r="1072" spans="2:9" ht="15.6" x14ac:dyDescent="0.3">
      <c r="B1072" s="18" t="s">
        <v>32</v>
      </c>
      <c r="C1072" s="18"/>
      <c r="D1072" s="7">
        <f>SUM(D1055:D1071)</f>
        <v>39246840</v>
      </c>
      <c r="E1072" s="8"/>
      <c r="F1072" s="7">
        <f>SUM(F1055:F1071)</f>
        <v>14400685</v>
      </c>
      <c r="G1072" s="7">
        <f>SUM(G1055:G1071)</f>
        <v>8725340</v>
      </c>
      <c r="H1072" s="6"/>
      <c r="I1072" s="6"/>
    </row>
    <row r="1074" spans="2:9" ht="15.6" x14ac:dyDescent="0.3">
      <c r="B1074" s="17" t="s">
        <v>105</v>
      </c>
      <c r="C1074" s="17"/>
      <c r="D1074" s="17"/>
    </row>
    <row r="1075" spans="2:9" x14ac:dyDescent="0.3">
      <c r="B1075" s="4" t="s">
        <v>18</v>
      </c>
      <c r="C1075" s="5">
        <v>6540</v>
      </c>
      <c r="D1075" s="5">
        <v>2617625</v>
      </c>
      <c r="E1075" s="5">
        <v>0</v>
      </c>
      <c r="F1075" s="5">
        <v>0</v>
      </c>
      <c r="G1075" s="5">
        <v>0</v>
      </c>
      <c r="H1075" s="5">
        <v>6500</v>
      </c>
      <c r="I1075" s="5">
        <v>0</v>
      </c>
    </row>
    <row r="1076" spans="2:9" x14ac:dyDescent="0.3">
      <c r="B1076" s="4" t="s">
        <v>20</v>
      </c>
      <c r="C1076" s="5">
        <v>3000</v>
      </c>
      <c r="D1076" s="5">
        <v>40710</v>
      </c>
      <c r="E1076" s="5">
        <v>5100</v>
      </c>
      <c r="F1076" s="5">
        <v>21085</v>
      </c>
      <c r="G1076" s="5">
        <v>68015</v>
      </c>
      <c r="H1076" s="5">
        <v>0</v>
      </c>
      <c r="I1076" s="5">
        <v>0</v>
      </c>
    </row>
    <row r="1077" spans="2:9" x14ac:dyDescent="0.3">
      <c r="B1077" s="4" t="s">
        <v>21</v>
      </c>
      <c r="C1077" s="5">
        <v>173353</v>
      </c>
      <c r="D1077" s="5">
        <v>66048040</v>
      </c>
      <c r="E1077" s="5">
        <v>21911</v>
      </c>
      <c r="F1077" s="5">
        <v>7453100</v>
      </c>
      <c r="G1077" s="5">
        <v>1205195</v>
      </c>
      <c r="H1077" s="5">
        <v>149000</v>
      </c>
      <c r="I1077" s="5">
        <v>0</v>
      </c>
    </row>
    <row r="1078" spans="2:9" x14ac:dyDescent="0.3">
      <c r="B1078" s="4" t="s">
        <v>22</v>
      </c>
      <c r="C1078" s="5">
        <v>4585</v>
      </c>
      <c r="D1078" s="5">
        <v>2019415</v>
      </c>
      <c r="E1078" s="5">
        <v>500</v>
      </c>
      <c r="F1078" s="5">
        <v>232750</v>
      </c>
      <c r="G1078" s="5">
        <v>0</v>
      </c>
      <c r="H1078" s="5">
        <v>3500</v>
      </c>
      <c r="I1078" s="5">
        <v>0</v>
      </c>
    </row>
    <row r="1079" spans="2:9" x14ac:dyDescent="0.3">
      <c r="B1079" s="4" t="s">
        <v>23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700000</v>
      </c>
      <c r="I1079" s="5">
        <v>60274000</v>
      </c>
    </row>
    <row r="1080" spans="2:9" x14ac:dyDescent="0.3">
      <c r="B1080" s="4" t="s">
        <v>26</v>
      </c>
      <c r="C1080" s="5">
        <v>0</v>
      </c>
      <c r="D1080" s="5">
        <v>0</v>
      </c>
      <c r="E1080" s="5">
        <v>370</v>
      </c>
      <c r="F1080" s="5">
        <v>19380</v>
      </c>
      <c r="G1080" s="5">
        <v>16350</v>
      </c>
      <c r="H1080" s="5">
        <v>0</v>
      </c>
      <c r="I1080" s="5">
        <v>0</v>
      </c>
    </row>
    <row r="1081" spans="2:9" x14ac:dyDescent="0.3">
      <c r="B1081" s="4" t="s">
        <v>27</v>
      </c>
      <c r="C1081" s="5">
        <v>31</v>
      </c>
      <c r="D1081" s="5">
        <v>2285</v>
      </c>
      <c r="E1081" s="5">
        <v>2530</v>
      </c>
      <c r="F1081" s="5">
        <v>185115</v>
      </c>
      <c r="G1081" s="5">
        <v>32245</v>
      </c>
      <c r="H1081" s="5">
        <v>0</v>
      </c>
      <c r="I1081" s="5">
        <v>0</v>
      </c>
    </row>
    <row r="1082" spans="2:9" x14ac:dyDescent="0.3">
      <c r="B1082" s="4" t="s">
        <v>30</v>
      </c>
      <c r="C1082" s="5">
        <v>0</v>
      </c>
      <c r="D1082" s="5">
        <v>0</v>
      </c>
      <c r="E1082" s="5">
        <v>11260</v>
      </c>
      <c r="F1082" s="5">
        <v>157640</v>
      </c>
      <c r="G1082" s="5">
        <v>0</v>
      </c>
      <c r="H1082" s="5">
        <v>0</v>
      </c>
      <c r="I1082" s="5">
        <v>15000</v>
      </c>
    </row>
    <row r="1083" spans="2:9" x14ac:dyDescent="0.3">
      <c r="B1083" s="4" t="s">
        <v>31</v>
      </c>
      <c r="C1083" s="5">
        <v>1276</v>
      </c>
      <c r="D1083" s="5">
        <v>446275</v>
      </c>
      <c r="E1083" s="5">
        <v>5462</v>
      </c>
      <c r="F1083" s="5">
        <v>2014130</v>
      </c>
      <c r="G1083" s="5">
        <v>3700</v>
      </c>
      <c r="H1083" s="5">
        <v>0</v>
      </c>
      <c r="I1083" s="5">
        <v>4000</v>
      </c>
    </row>
    <row r="1084" spans="2:9" ht="15.6" x14ac:dyDescent="0.3">
      <c r="B1084" s="18" t="s">
        <v>32</v>
      </c>
      <c r="C1084" s="18"/>
      <c r="D1084" s="7">
        <f>SUM(D1075:D1083)</f>
        <v>71174350</v>
      </c>
      <c r="E1084" s="8"/>
      <c r="F1084" s="7">
        <f>SUM(F1075:F1083)</f>
        <v>10083200</v>
      </c>
      <c r="G1084" s="7">
        <f>SUM(G1075:G1083)</f>
        <v>1325505</v>
      </c>
      <c r="H1084" s="6"/>
      <c r="I1084" s="6"/>
    </row>
    <row r="1086" spans="2:9" ht="15.6" x14ac:dyDescent="0.3">
      <c r="B1086" s="17" t="s">
        <v>106</v>
      </c>
      <c r="C1086" s="17"/>
      <c r="D1086" s="17"/>
    </row>
    <row r="1087" spans="2:9" x14ac:dyDescent="0.3">
      <c r="B1087" s="4" t="s">
        <v>15</v>
      </c>
      <c r="C1087" s="5">
        <v>27000</v>
      </c>
      <c r="D1087" s="5">
        <v>6210000</v>
      </c>
      <c r="E1087" s="5">
        <v>0</v>
      </c>
      <c r="F1087" s="5">
        <v>0</v>
      </c>
      <c r="G1087" s="5">
        <v>0</v>
      </c>
      <c r="H1087" s="5">
        <v>27400</v>
      </c>
      <c r="I1087" s="5">
        <v>50</v>
      </c>
    </row>
    <row r="1088" spans="2:9" x14ac:dyDescent="0.3">
      <c r="B1088" s="4" t="s">
        <v>17</v>
      </c>
      <c r="C1088" s="5">
        <v>0</v>
      </c>
      <c r="D1088" s="5">
        <v>0</v>
      </c>
      <c r="E1088" s="5">
        <v>9500</v>
      </c>
      <c r="F1088" s="5">
        <v>2565000</v>
      </c>
      <c r="G1088" s="5">
        <v>0</v>
      </c>
      <c r="H1088" s="5">
        <v>0</v>
      </c>
      <c r="I1088" s="5">
        <v>9500</v>
      </c>
    </row>
    <row r="1089" spans="2:9" x14ac:dyDescent="0.3">
      <c r="B1089" s="4" t="s">
        <v>18</v>
      </c>
      <c r="C1089" s="5">
        <v>63130</v>
      </c>
      <c r="D1089" s="5">
        <v>25422635</v>
      </c>
      <c r="E1089" s="5">
        <v>550</v>
      </c>
      <c r="F1089" s="5">
        <v>143500</v>
      </c>
      <c r="G1089" s="5">
        <v>83948</v>
      </c>
      <c r="H1089" s="5">
        <v>63000</v>
      </c>
      <c r="I1089" s="5">
        <v>0</v>
      </c>
    </row>
    <row r="1090" spans="2:9" x14ac:dyDescent="0.3">
      <c r="B1090" s="4" t="s">
        <v>20</v>
      </c>
      <c r="C1090" s="5">
        <v>19300</v>
      </c>
      <c r="D1090" s="5">
        <v>260125</v>
      </c>
      <c r="E1090" s="5">
        <v>9800</v>
      </c>
      <c r="F1090" s="5">
        <v>148287</v>
      </c>
      <c r="G1090" s="5">
        <v>22710</v>
      </c>
      <c r="H1090" s="5">
        <v>20000</v>
      </c>
      <c r="I1090" s="5">
        <v>15000</v>
      </c>
    </row>
    <row r="1091" spans="2:9" x14ac:dyDescent="0.3">
      <c r="B1091" s="4" t="s">
        <v>21</v>
      </c>
      <c r="C1091" s="5">
        <v>535384</v>
      </c>
      <c r="D1091" s="5">
        <v>204687857</v>
      </c>
      <c r="E1091" s="5">
        <v>163760</v>
      </c>
      <c r="F1091" s="5">
        <v>30111849</v>
      </c>
      <c r="G1091" s="5">
        <v>34213809</v>
      </c>
      <c r="H1091" s="5">
        <v>427070</v>
      </c>
      <c r="I1091" s="5">
        <v>59200</v>
      </c>
    </row>
    <row r="1092" spans="2:9" x14ac:dyDescent="0.3">
      <c r="B1092" s="4" t="s">
        <v>22</v>
      </c>
      <c r="C1092" s="5">
        <v>9725</v>
      </c>
      <c r="D1092" s="5">
        <v>4329075</v>
      </c>
      <c r="E1092" s="5">
        <v>2170</v>
      </c>
      <c r="F1092" s="5">
        <v>876330</v>
      </c>
      <c r="G1092" s="5">
        <v>129590</v>
      </c>
      <c r="H1092" s="5">
        <v>7700</v>
      </c>
      <c r="I1092" s="5">
        <v>2500</v>
      </c>
    </row>
    <row r="1093" spans="2:9" x14ac:dyDescent="0.3">
      <c r="B1093" s="4" t="s">
        <v>23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18000000</v>
      </c>
      <c r="I1093" s="5">
        <v>218592430</v>
      </c>
    </row>
    <row r="1094" spans="2:9" x14ac:dyDescent="0.3">
      <c r="B1094" s="4" t="s">
        <v>26</v>
      </c>
      <c r="C1094" s="5">
        <v>960</v>
      </c>
      <c r="D1094" s="5">
        <v>82360</v>
      </c>
      <c r="E1094" s="5">
        <v>13110</v>
      </c>
      <c r="F1094" s="5">
        <v>154210</v>
      </c>
      <c r="G1094" s="5">
        <v>1125990</v>
      </c>
      <c r="H1094" s="5">
        <v>0</v>
      </c>
      <c r="I1094" s="5">
        <v>10000</v>
      </c>
    </row>
    <row r="1095" spans="2:9" x14ac:dyDescent="0.3">
      <c r="B1095" s="4" t="s">
        <v>27</v>
      </c>
      <c r="C1095" s="5">
        <v>4117</v>
      </c>
      <c r="D1095" s="5">
        <v>303565</v>
      </c>
      <c r="E1095" s="5">
        <v>3648</v>
      </c>
      <c r="F1095" s="5">
        <v>284038</v>
      </c>
      <c r="G1095" s="5">
        <v>23360</v>
      </c>
      <c r="H1095" s="5">
        <v>0</v>
      </c>
      <c r="I1095" s="5">
        <v>8000</v>
      </c>
    </row>
    <row r="1096" spans="2:9" x14ac:dyDescent="0.3">
      <c r="B1096" s="4" t="s">
        <v>34</v>
      </c>
      <c r="C1096" s="5">
        <v>38820</v>
      </c>
      <c r="D1096" s="5">
        <v>116848</v>
      </c>
      <c r="E1096" s="5">
        <v>153500</v>
      </c>
      <c r="F1096" s="5">
        <v>586440</v>
      </c>
      <c r="G1096" s="5">
        <v>35235</v>
      </c>
      <c r="H1096" s="5">
        <v>0</v>
      </c>
      <c r="I1096" s="5">
        <v>150000</v>
      </c>
    </row>
    <row r="1097" spans="2:9" x14ac:dyDescent="0.3">
      <c r="B1097" s="4" t="s">
        <v>29</v>
      </c>
      <c r="C1097" s="5">
        <v>4180</v>
      </c>
      <c r="D1097" s="5">
        <v>29260</v>
      </c>
      <c r="E1097" s="5">
        <v>88080</v>
      </c>
      <c r="F1097" s="5">
        <v>1160636</v>
      </c>
      <c r="G1097" s="5">
        <v>0</v>
      </c>
      <c r="H1097" s="5">
        <v>0</v>
      </c>
      <c r="I1097" s="5">
        <v>90000</v>
      </c>
    </row>
    <row r="1098" spans="2:9" x14ac:dyDescent="0.3">
      <c r="B1098" s="4" t="s">
        <v>30</v>
      </c>
      <c r="C1098" s="5">
        <v>0</v>
      </c>
      <c r="D1098" s="5">
        <v>0</v>
      </c>
      <c r="E1098" s="5">
        <v>8250</v>
      </c>
      <c r="F1098" s="5">
        <v>115500</v>
      </c>
      <c r="G1098" s="5">
        <v>0</v>
      </c>
      <c r="H1098" s="5">
        <v>0</v>
      </c>
      <c r="I1098" s="5">
        <v>10000</v>
      </c>
    </row>
    <row r="1099" spans="2:9" x14ac:dyDescent="0.3">
      <c r="B1099" s="4" t="s">
        <v>31</v>
      </c>
      <c r="C1099" s="5">
        <v>15435</v>
      </c>
      <c r="D1099" s="5">
        <v>5440455</v>
      </c>
      <c r="E1099" s="5">
        <v>29262</v>
      </c>
      <c r="F1099" s="5">
        <v>6182090</v>
      </c>
      <c r="G1099" s="5">
        <v>4590538</v>
      </c>
      <c r="H1099" s="5">
        <v>4000</v>
      </c>
      <c r="I1099" s="5">
        <v>18600</v>
      </c>
    </row>
    <row r="1100" spans="2:9" ht="15.6" x14ac:dyDescent="0.3">
      <c r="B1100" s="18" t="s">
        <v>32</v>
      </c>
      <c r="C1100" s="18"/>
      <c r="D1100" s="7">
        <f>SUM(D1087:D1099)</f>
        <v>246882180</v>
      </c>
      <c r="E1100" s="8"/>
      <c r="F1100" s="7">
        <f>SUM(F1087:F1099)</f>
        <v>42327880</v>
      </c>
      <c r="G1100" s="7">
        <f>SUM(G1087:G1099)</f>
        <v>40225180</v>
      </c>
      <c r="H1100" s="6"/>
      <c r="I1100" s="6"/>
    </row>
    <row r="1102" spans="2:9" ht="17.399999999999999" x14ac:dyDescent="0.3">
      <c r="B1102" s="22" t="s">
        <v>107</v>
      </c>
      <c r="C1102" s="22"/>
      <c r="D1102" s="22"/>
      <c r="E1102" s="22"/>
      <c r="F1102" s="22"/>
      <c r="G1102" s="22"/>
      <c r="H1102" s="22"/>
      <c r="I1102" s="22"/>
    </row>
    <row r="1103" spans="2:9" ht="15.6" x14ac:dyDescent="0.3">
      <c r="B1103" s="17" t="s">
        <v>108</v>
      </c>
      <c r="C1103" s="17"/>
      <c r="D1103" s="17"/>
    </row>
    <row r="1104" spans="2:9" x14ac:dyDescent="0.3">
      <c r="B1104" s="4" t="s">
        <v>16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100</v>
      </c>
      <c r="I1104" s="5">
        <v>0</v>
      </c>
    </row>
    <row r="1105" spans="2:9" x14ac:dyDescent="0.3">
      <c r="B1105" s="4" t="s">
        <v>17</v>
      </c>
      <c r="C1105" s="5">
        <v>500</v>
      </c>
      <c r="D1105" s="5">
        <v>126045</v>
      </c>
      <c r="E1105" s="5">
        <v>560</v>
      </c>
      <c r="F1105" s="5">
        <v>95750</v>
      </c>
      <c r="G1105" s="5">
        <v>57215</v>
      </c>
      <c r="H1105" s="5">
        <v>600</v>
      </c>
      <c r="I1105" s="5">
        <v>600</v>
      </c>
    </row>
    <row r="1106" spans="2:9" x14ac:dyDescent="0.3">
      <c r="B1106" s="4" t="s">
        <v>18</v>
      </c>
      <c r="C1106" s="5">
        <v>24720</v>
      </c>
      <c r="D1106" s="5">
        <v>9858455</v>
      </c>
      <c r="E1106" s="5">
        <v>900</v>
      </c>
      <c r="F1106" s="5">
        <v>356341</v>
      </c>
      <c r="G1106" s="5">
        <v>21100</v>
      </c>
      <c r="H1106" s="5">
        <v>27000</v>
      </c>
      <c r="I1106" s="5">
        <v>0</v>
      </c>
    </row>
    <row r="1107" spans="2:9" x14ac:dyDescent="0.3">
      <c r="B1107" s="4" t="s">
        <v>19</v>
      </c>
      <c r="C1107" s="5">
        <v>0</v>
      </c>
      <c r="D1107" s="5">
        <v>0</v>
      </c>
      <c r="E1107" s="5">
        <v>1000</v>
      </c>
      <c r="F1107" s="5">
        <v>0</v>
      </c>
      <c r="G1107" s="5">
        <v>57000</v>
      </c>
      <c r="H1107" s="5">
        <v>0</v>
      </c>
      <c r="I1107" s="5">
        <v>0</v>
      </c>
    </row>
    <row r="1108" spans="2:9" x14ac:dyDescent="0.3">
      <c r="B1108" s="4" t="s">
        <v>20</v>
      </c>
      <c r="C1108" s="5">
        <v>200</v>
      </c>
      <c r="D1108" s="5">
        <v>2695</v>
      </c>
      <c r="E1108" s="5">
        <v>8200</v>
      </c>
      <c r="F1108" s="5">
        <v>66430</v>
      </c>
      <c r="G1108" s="5">
        <v>76830</v>
      </c>
      <c r="H1108" s="5">
        <v>0</v>
      </c>
      <c r="I1108" s="5">
        <v>10000</v>
      </c>
    </row>
    <row r="1109" spans="2:9" x14ac:dyDescent="0.3">
      <c r="B1109" s="4" t="s">
        <v>21</v>
      </c>
      <c r="C1109" s="5">
        <v>200316</v>
      </c>
      <c r="D1109" s="5">
        <v>76014979</v>
      </c>
      <c r="E1109" s="5">
        <v>46125</v>
      </c>
      <c r="F1109" s="5">
        <v>15136298</v>
      </c>
      <c r="G1109" s="5">
        <v>3046335</v>
      </c>
      <c r="H1109" s="5">
        <v>161000</v>
      </c>
      <c r="I1109" s="5">
        <v>0</v>
      </c>
    </row>
    <row r="1110" spans="2:9" x14ac:dyDescent="0.3">
      <c r="B1110" s="4" t="s">
        <v>22</v>
      </c>
      <c r="C1110" s="5">
        <v>4880</v>
      </c>
      <c r="D1110" s="5">
        <v>2156610</v>
      </c>
      <c r="E1110" s="5">
        <v>3480</v>
      </c>
      <c r="F1110" s="5">
        <v>1457655</v>
      </c>
      <c r="G1110" s="5">
        <v>148160</v>
      </c>
      <c r="H1110" s="5">
        <v>5500</v>
      </c>
      <c r="I1110" s="5">
        <v>3000</v>
      </c>
    </row>
    <row r="1111" spans="2:9" x14ac:dyDescent="0.3">
      <c r="B1111" s="4" t="s">
        <v>23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930000</v>
      </c>
      <c r="I1111" s="5">
        <v>70887500</v>
      </c>
    </row>
    <row r="1112" spans="2:9" x14ac:dyDescent="0.3">
      <c r="B1112" s="4" t="s">
        <v>26</v>
      </c>
      <c r="C1112" s="5">
        <v>100</v>
      </c>
      <c r="D1112" s="5">
        <v>8580</v>
      </c>
      <c r="E1112" s="5">
        <v>100</v>
      </c>
      <c r="F1112" s="5">
        <v>9716</v>
      </c>
      <c r="G1112" s="5">
        <v>0</v>
      </c>
      <c r="H1112" s="5">
        <v>0</v>
      </c>
      <c r="I1112" s="5">
        <v>0</v>
      </c>
    </row>
    <row r="1113" spans="2:9" x14ac:dyDescent="0.3">
      <c r="B1113" s="4" t="s">
        <v>27</v>
      </c>
      <c r="C1113" s="5">
        <v>16953</v>
      </c>
      <c r="D1113" s="5">
        <v>1241820</v>
      </c>
      <c r="E1113" s="5">
        <v>7834</v>
      </c>
      <c r="F1113" s="5">
        <v>620290</v>
      </c>
      <c r="G1113" s="5">
        <v>42390</v>
      </c>
      <c r="H1113" s="5">
        <v>10000</v>
      </c>
      <c r="I1113" s="5">
        <v>0</v>
      </c>
    </row>
    <row r="1114" spans="2:9" x14ac:dyDescent="0.3">
      <c r="B1114" s="4" t="s">
        <v>34</v>
      </c>
      <c r="C1114" s="5">
        <v>14810</v>
      </c>
      <c r="D1114" s="5">
        <v>44430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</row>
    <row r="1115" spans="2:9" x14ac:dyDescent="0.3">
      <c r="B1115" s="4" t="s">
        <v>31</v>
      </c>
      <c r="C1115" s="5">
        <v>3572</v>
      </c>
      <c r="D1115" s="5">
        <v>1252316</v>
      </c>
      <c r="E1115" s="5">
        <v>13630</v>
      </c>
      <c r="F1115" s="5">
        <v>4041755</v>
      </c>
      <c r="G1115" s="5">
        <v>945500</v>
      </c>
      <c r="H1115" s="5">
        <v>0</v>
      </c>
      <c r="I1115" s="5">
        <v>9500</v>
      </c>
    </row>
    <row r="1116" spans="2:9" ht="15.6" x14ac:dyDescent="0.3">
      <c r="B1116" s="18" t="s">
        <v>32</v>
      </c>
      <c r="C1116" s="18"/>
      <c r="D1116" s="7">
        <f>SUM(D1104:D1115)</f>
        <v>90705930</v>
      </c>
      <c r="E1116" s="8"/>
      <c r="F1116" s="7">
        <f>SUM(F1104:F1115)</f>
        <v>21784235</v>
      </c>
      <c r="G1116" s="7">
        <f>SUM(G1104:G1115)</f>
        <v>4394530</v>
      </c>
      <c r="H1116" s="6"/>
      <c r="I1116" s="6"/>
    </row>
    <row r="1118" spans="2:9" ht="15.6" x14ac:dyDescent="0.3">
      <c r="B1118" s="17" t="s">
        <v>109</v>
      </c>
      <c r="C1118" s="17"/>
      <c r="D1118" s="17"/>
    </row>
    <row r="1119" spans="2:9" x14ac:dyDescent="0.3">
      <c r="B1119" s="4" t="s">
        <v>17</v>
      </c>
      <c r="C1119" s="5">
        <v>0</v>
      </c>
      <c r="D1119" s="5">
        <v>0</v>
      </c>
      <c r="E1119" s="5">
        <v>4000</v>
      </c>
      <c r="F1119" s="5">
        <v>1080000</v>
      </c>
      <c r="G1119" s="5">
        <v>0</v>
      </c>
      <c r="H1119" s="5">
        <v>200</v>
      </c>
      <c r="I1119" s="5">
        <v>4000</v>
      </c>
    </row>
    <row r="1120" spans="2:9" x14ac:dyDescent="0.3">
      <c r="B1120" s="4" t="s">
        <v>18</v>
      </c>
      <c r="C1120" s="5">
        <v>41280</v>
      </c>
      <c r="D1120" s="5">
        <v>16703020</v>
      </c>
      <c r="E1120" s="5">
        <v>8890</v>
      </c>
      <c r="F1120" s="5">
        <v>2847320</v>
      </c>
      <c r="G1120" s="5">
        <v>828000</v>
      </c>
      <c r="H1120" s="5">
        <v>39000</v>
      </c>
      <c r="I1120" s="5">
        <v>7000</v>
      </c>
    </row>
    <row r="1121" spans="2:9" x14ac:dyDescent="0.3">
      <c r="B1121" s="4" t="s">
        <v>20</v>
      </c>
      <c r="C1121" s="5">
        <v>0</v>
      </c>
      <c r="D1121" s="5">
        <v>0</v>
      </c>
      <c r="E1121" s="5">
        <v>2100</v>
      </c>
      <c r="F1121" s="5">
        <v>0</v>
      </c>
      <c r="G1121" s="5">
        <v>36625</v>
      </c>
      <c r="H1121" s="5">
        <v>0</v>
      </c>
      <c r="I1121" s="5">
        <v>0</v>
      </c>
    </row>
    <row r="1122" spans="2:9" x14ac:dyDescent="0.3">
      <c r="B1122" s="4" t="s">
        <v>21</v>
      </c>
      <c r="C1122" s="5">
        <v>131599</v>
      </c>
      <c r="D1122" s="5">
        <v>50053915</v>
      </c>
      <c r="E1122" s="5">
        <v>14212</v>
      </c>
      <c r="F1122" s="5">
        <v>3758499</v>
      </c>
      <c r="G1122" s="5">
        <v>1844005</v>
      </c>
      <c r="H1122" s="5">
        <v>118000</v>
      </c>
      <c r="I1122" s="5">
        <v>0</v>
      </c>
    </row>
    <row r="1123" spans="2:9" x14ac:dyDescent="0.3">
      <c r="B1123" s="4" t="s">
        <v>22</v>
      </c>
      <c r="C1123" s="5">
        <v>440</v>
      </c>
      <c r="D1123" s="5">
        <v>194320</v>
      </c>
      <c r="E1123" s="5">
        <v>200</v>
      </c>
      <c r="F1123" s="5">
        <v>92220</v>
      </c>
      <c r="G1123" s="5">
        <v>0</v>
      </c>
      <c r="H1123" s="5">
        <v>1000</v>
      </c>
      <c r="I1123" s="5">
        <v>0</v>
      </c>
    </row>
    <row r="1124" spans="2:9" x14ac:dyDescent="0.3">
      <c r="B1124" s="4" t="s">
        <v>23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56614750</v>
      </c>
    </row>
    <row r="1125" spans="2:9" x14ac:dyDescent="0.3">
      <c r="B1125" s="4" t="s">
        <v>36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1000</v>
      </c>
      <c r="I1125" s="5">
        <v>0</v>
      </c>
    </row>
    <row r="1126" spans="2:9" x14ac:dyDescent="0.3">
      <c r="B1126" s="4" t="s">
        <v>26</v>
      </c>
      <c r="C1126" s="5">
        <v>2320</v>
      </c>
      <c r="D1126" s="5">
        <v>199730</v>
      </c>
      <c r="E1126" s="5">
        <v>400</v>
      </c>
      <c r="F1126" s="5">
        <v>38666</v>
      </c>
      <c r="G1126" s="5">
        <v>0</v>
      </c>
      <c r="H1126" s="5">
        <v>0</v>
      </c>
      <c r="I1126" s="5">
        <v>0</v>
      </c>
    </row>
    <row r="1127" spans="2:9" x14ac:dyDescent="0.3">
      <c r="B1127" s="4" t="s">
        <v>27</v>
      </c>
      <c r="C1127" s="5">
        <v>50</v>
      </c>
      <c r="D1127" s="5">
        <v>3660</v>
      </c>
      <c r="E1127" s="5">
        <v>400</v>
      </c>
      <c r="F1127" s="5">
        <v>0</v>
      </c>
      <c r="G1127" s="5">
        <v>33550</v>
      </c>
      <c r="H1127" s="5">
        <v>0</v>
      </c>
      <c r="I1127" s="5">
        <v>0</v>
      </c>
    </row>
    <row r="1128" spans="2:9" x14ac:dyDescent="0.3">
      <c r="B1128" s="4" t="s">
        <v>31</v>
      </c>
      <c r="C1128" s="5">
        <v>2105</v>
      </c>
      <c r="D1128" s="5">
        <v>733150</v>
      </c>
      <c r="E1128" s="5">
        <v>9110</v>
      </c>
      <c r="F1128" s="5">
        <v>2340635</v>
      </c>
      <c r="G1128" s="5">
        <v>974195</v>
      </c>
      <c r="H1128" s="5">
        <v>2000</v>
      </c>
      <c r="I1128" s="5">
        <v>9500</v>
      </c>
    </row>
    <row r="1129" spans="2:9" ht="15.6" x14ac:dyDescent="0.3">
      <c r="B1129" s="18" t="s">
        <v>32</v>
      </c>
      <c r="C1129" s="18"/>
      <c r="D1129" s="7">
        <f>SUM(D1119:D1128)</f>
        <v>67887795</v>
      </c>
      <c r="E1129" s="8"/>
      <c r="F1129" s="7">
        <f>SUM(F1119:F1128)</f>
        <v>10157340</v>
      </c>
      <c r="G1129" s="7">
        <f>SUM(G1119:G1128)</f>
        <v>3716375</v>
      </c>
      <c r="H1129" s="6"/>
      <c r="I1129" s="6"/>
    </row>
    <row r="1131" spans="2:9" ht="15.6" x14ac:dyDescent="0.3">
      <c r="B1131" s="17" t="s">
        <v>110</v>
      </c>
      <c r="C1131" s="17"/>
      <c r="D1131" s="17"/>
    </row>
    <row r="1132" spans="2:9" x14ac:dyDescent="0.3">
      <c r="B1132" s="4" t="s">
        <v>18</v>
      </c>
      <c r="C1132" s="5">
        <v>13380</v>
      </c>
      <c r="D1132" s="5">
        <v>5339040</v>
      </c>
      <c r="E1132" s="5">
        <v>550</v>
      </c>
      <c r="F1132" s="5">
        <v>21050</v>
      </c>
      <c r="G1132" s="5">
        <v>210470</v>
      </c>
      <c r="H1132" s="5">
        <v>13000</v>
      </c>
      <c r="I1132" s="5">
        <v>0</v>
      </c>
    </row>
    <row r="1133" spans="2:9" x14ac:dyDescent="0.3">
      <c r="B1133" s="4" t="s">
        <v>19</v>
      </c>
      <c r="C1133" s="5">
        <v>390</v>
      </c>
      <c r="D1133" s="5">
        <v>15670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</row>
    <row r="1134" spans="2:9" x14ac:dyDescent="0.3">
      <c r="B1134" s="4" t="s">
        <v>20</v>
      </c>
      <c r="C1134" s="5">
        <v>500</v>
      </c>
      <c r="D1134" s="5">
        <v>6835</v>
      </c>
      <c r="E1134" s="5">
        <v>2000</v>
      </c>
      <c r="F1134" s="5">
        <v>34920</v>
      </c>
      <c r="G1134" s="5">
        <v>0</v>
      </c>
      <c r="H1134" s="5">
        <v>0</v>
      </c>
      <c r="I1134" s="5">
        <v>5000</v>
      </c>
    </row>
    <row r="1135" spans="2:9" x14ac:dyDescent="0.3">
      <c r="B1135" s="4" t="s">
        <v>21</v>
      </c>
      <c r="C1135" s="5">
        <v>233193</v>
      </c>
      <c r="D1135" s="5">
        <v>88503136</v>
      </c>
      <c r="E1135" s="5">
        <v>26690</v>
      </c>
      <c r="F1135" s="5">
        <v>8374355</v>
      </c>
      <c r="G1135" s="5">
        <v>2167425</v>
      </c>
      <c r="H1135" s="5">
        <v>216000</v>
      </c>
      <c r="I1135" s="5">
        <v>0</v>
      </c>
    </row>
    <row r="1136" spans="2:9" x14ac:dyDescent="0.3">
      <c r="B1136" s="4" t="s">
        <v>22</v>
      </c>
      <c r="C1136" s="5">
        <v>150</v>
      </c>
      <c r="D1136" s="5">
        <v>66445</v>
      </c>
      <c r="E1136" s="5">
        <v>755</v>
      </c>
      <c r="F1136" s="5">
        <v>244665</v>
      </c>
      <c r="G1136" s="5">
        <v>106310</v>
      </c>
      <c r="H1136" s="5">
        <v>0</v>
      </c>
      <c r="I1136" s="5">
        <v>500</v>
      </c>
    </row>
    <row r="1137" spans="2:9" x14ac:dyDescent="0.3">
      <c r="B1137" s="4" t="s">
        <v>23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500000</v>
      </c>
      <c r="I1137" s="5">
        <v>86217000</v>
      </c>
    </row>
    <row r="1138" spans="2:9" x14ac:dyDescent="0.3">
      <c r="B1138" s="4" t="s">
        <v>26</v>
      </c>
      <c r="C1138" s="5">
        <v>140</v>
      </c>
      <c r="D1138" s="5">
        <v>12129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</row>
    <row r="1139" spans="2:9" x14ac:dyDescent="0.3">
      <c r="B1139" s="4" t="s">
        <v>27</v>
      </c>
      <c r="C1139" s="5">
        <v>0</v>
      </c>
      <c r="D1139" s="5">
        <v>0</v>
      </c>
      <c r="E1139" s="5">
        <v>7880</v>
      </c>
      <c r="F1139" s="5">
        <v>645510</v>
      </c>
      <c r="G1139" s="5">
        <v>24110</v>
      </c>
      <c r="H1139" s="5">
        <v>0</v>
      </c>
      <c r="I1139" s="5">
        <v>3000</v>
      </c>
    </row>
    <row r="1140" spans="2:9" x14ac:dyDescent="0.3">
      <c r="B1140" s="4" t="s">
        <v>34</v>
      </c>
      <c r="C1140" s="5">
        <v>100</v>
      </c>
      <c r="D1140" s="5">
        <v>300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</row>
    <row r="1141" spans="2:9" x14ac:dyDescent="0.3">
      <c r="B1141" s="4" t="s">
        <v>28</v>
      </c>
      <c r="C1141" s="5">
        <v>6850</v>
      </c>
      <c r="D1141" s="5">
        <v>13700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</row>
    <row r="1142" spans="2:9" x14ac:dyDescent="0.3">
      <c r="B1142" s="4" t="s">
        <v>30</v>
      </c>
      <c r="C1142" s="5">
        <v>1060</v>
      </c>
      <c r="D1142" s="5">
        <v>10390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</row>
    <row r="1143" spans="2:9" x14ac:dyDescent="0.3">
      <c r="B1143" s="4" t="s">
        <v>31</v>
      </c>
      <c r="C1143" s="5">
        <v>0</v>
      </c>
      <c r="D1143" s="5">
        <v>0</v>
      </c>
      <c r="E1143" s="5">
        <v>4692</v>
      </c>
      <c r="F1143" s="5">
        <v>1632265</v>
      </c>
      <c r="G1143" s="5">
        <v>93145</v>
      </c>
      <c r="H1143" s="5">
        <v>500</v>
      </c>
      <c r="I1143" s="5">
        <v>5000</v>
      </c>
    </row>
    <row r="1144" spans="2:9" ht="15.6" x14ac:dyDescent="0.3">
      <c r="B1144" s="18" t="s">
        <v>32</v>
      </c>
      <c r="C1144" s="18"/>
      <c r="D1144" s="7">
        <f>SUM(D1132:D1143)</f>
        <v>93967645</v>
      </c>
      <c r="E1144" s="8"/>
      <c r="F1144" s="7">
        <f>SUM(F1132:F1143)</f>
        <v>10952765</v>
      </c>
      <c r="G1144" s="7">
        <f>SUM(G1132:G1143)</f>
        <v>2601460</v>
      </c>
      <c r="H1144" s="6"/>
      <c r="I1144" s="6"/>
    </row>
    <row r="1146" spans="2:9" ht="15.6" x14ac:dyDescent="0.3">
      <c r="B1146" s="17" t="s">
        <v>111</v>
      </c>
      <c r="C1146" s="17"/>
      <c r="D1146" s="17"/>
    </row>
    <row r="1147" spans="2:9" x14ac:dyDescent="0.3">
      <c r="B1147" s="4" t="s">
        <v>17</v>
      </c>
      <c r="C1147" s="5">
        <v>0</v>
      </c>
      <c r="D1147" s="5">
        <v>0</v>
      </c>
      <c r="E1147" s="5">
        <v>15</v>
      </c>
      <c r="F1147" s="5">
        <v>4075</v>
      </c>
      <c r="G1147" s="5">
        <v>0</v>
      </c>
      <c r="H1147" s="5">
        <v>600</v>
      </c>
      <c r="I1147" s="5">
        <v>0</v>
      </c>
    </row>
    <row r="1148" spans="2:9" x14ac:dyDescent="0.3">
      <c r="B1148" s="4" t="s">
        <v>18</v>
      </c>
      <c r="C1148" s="5">
        <v>5090</v>
      </c>
      <c r="D1148" s="5">
        <v>2021660</v>
      </c>
      <c r="E1148" s="5">
        <v>1510</v>
      </c>
      <c r="F1148" s="5">
        <v>168395</v>
      </c>
      <c r="G1148" s="5">
        <v>466290</v>
      </c>
      <c r="H1148" s="5">
        <v>3200</v>
      </c>
      <c r="I1148" s="5">
        <v>0</v>
      </c>
    </row>
    <row r="1149" spans="2:9" x14ac:dyDescent="0.3">
      <c r="B1149" s="4" t="s">
        <v>19</v>
      </c>
      <c r="C1149" s="5">
        <v>0</v>
      </c>
      <c r="D1149" s="5">
        <v>0</v>
      </c>
      <c r="E1149" s="5">
        <v>4</v>
      </c>
      <c r="F1149" s="5">
        <v>230</v>
      </c>
      <c r="G1149" s="5">
        <v>0</v>
      </c>
      <c r="H1149" s="5">
        <v>0</v>
      </c>
      <c r="I1149" s="5">
        <v>0</v>
      </c>
    </row>
    <row r="1150" spans="2:9" x14ac:dyDescent="0.3">
      <c r="B1150" s="4" t="s">
        <v>20</v>
      </c>
      <c r="C1150" s="5">
        <v>200</v>
      </c>
      <c r="D1150" s="5">
        <v>2700</v>
      </c>
      <c r="E1150" s="5">
        <v>2100</v>
      </c>
      <c r="F1150" s="5">
        <v>36771</v>
      </c>
      <c r="G1150" s="5">
        <v>0</v>
      </c>
      <c r="H1150" s="5">
        <v>0</v>
      </c>
      <c r="I1150" s="5">
        <v>5000</v>
      </c>
    </row>
    <row r="1151" spans="2:9" x14ac:dyDescent="0.3">
      <c r="B1151" s="4" t="s">
        <v>21</v>
      </c>
      <c r="C1151" s="5">
        <v>98572</v>
      </c>
      <c r="D1151" s="5">
        <v>37656925</v>
      </c>
      <c r="E1151" s="5">
        <v>29747</v>
      </c>
      <c r="F1151" s="5">
        <v>9725920</v>
      </c>
      <c r="G1151" s="5">
        <v>1933739</v>
      </c>
      <c r="H1151" s="5">
        <v>60000</v>
      </c>
      <c r="I1151" s="5">
        <v>1000</v>
      </c>
    </row>
    <row r="1152" spans="2:9" x14ac:dyDescent="0.3">
      <c r="B1152" s="4" t="s">
        <v>22</v>
      </c>
      <c r="C1152" s="5">
        <v>370</v>
      </c>
      <c r="D1152" s="5">
        <v>163710</v>
      </c>
      <c r="E1152" s="5">
        <v>2040</v>
      </c>
      <c r="F1152" s="5">
        <v>510440</v>
      </c>
      <c r="G1152" s="5">
        <v>440386</v>
      </c>
      <c r="H1152" s="5">
        <v>0</v>
      </c>
      <c r="I1152" s="5">
        <v>500</v>
      </c>
    </row>
    <row r="1153" spans="2:9" x14ac:dyDescent="0.3">
      <c r="B1153" s="4" t="s">
        <v>23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23461000</v>
      </c>
    </row>
    <row r="1154" spans="2:9" x14ac:dyDescent="0.3">
      <c r="B1154" s="4" t="s">
        <v>45</v>
      </c>
      <c r="C1154" s="5">
        <v>190</v>
      </c>
      <c r="D1154" s="5">
        <v>2795</v>
      </c>
      <c r="E1154" s="5">
        <v>20</v>
      </c>
      <c r="F1154" s="5">
        <v>570</v>
      </c>
      <c r="G1154" s="5">
        <v>0</v>
      </c>
      <c r="H1154" s="5">
        <v>0</v>
      </c>
      <c r="I1154" s="5">
        <v>0</v>
      </c>
    </row>
    <row r="1155" spans="2:9" x14ac:dyDescent="0.3">
      <c r="B1155" s="4" t="s">
        <v>26</v>
      </c>
      <c r="C1155" s="5">
        <v>20</v>
      </c>
      <c r="D1155" s="5">
        <v>1720</v>
      </c>
      <c r="E1155" s="5">
        <v>2500</v>
      </c>
      <c r="F1155" s="5">
        <v>241285</v>
      </c>
      <c r="G1155" s="5">
        <v>0</v>
      </c>
      <c r="H1155" s="5">
        <v>0</v>
      </c>
      <c r="I1155" s="5">
        <v>3500</v>
      </c>
    </row>
    <row r="1156" spans="2:9" x14ac:dyDescent="0.3">
      <c r="B1156" s="4" t="s">
        <v>27</v>
      </c>
      <c r="C1156" s="5">
        <v>16114</v>
      </c>
      <c r="D1156" s="5">
        <v>1193600</v>
      </c>
      <c r="E1156" s="5">
        <v>554</v>
      </c>
      <c r="F1156" s="5">
        <v>38920</v>
      </c>
      <c r="G1156" s="5">
        <v>8490</v>
      </c>
      <c r="H1156" s="5">
        <v>10000</v>
      </c>
      <c r="I1156" s="5">
        <v>0</v>
      </c>
    </row>
    <row r="1157" spans="2:9" x14ac:dyDescent="0.3">
      <c r="B1157" s="4" t="s">
        <v>30</v>
      </c>
      <c r="C1157" s="5">
        <v>0</v>
      </c>
      <c r="D1157" s="5">
        <v>0</v>
      </c>
      <c r="E1157" s="5">
        <v>1650</v>
      </c>
      <c r="F1157" s="5">
        <v>2310</v>
      </c>
      <c r="G1157" s="5">
        <v>21000</v>
      </c>
      <c r="H1157" s="5">
        <v>0</v>
      </c>
      <c r="I1157" s="5">
        <v>2000</v>
      </c>
    </row>
    <row r="1158" spans="2:9" x14ac:dyDescent="0.3">
      <c r="B1158" s="4" t="s">
        <v>31</v>
      </c>
      <c r="C1158" s="5">
        <v>5992</v>
      </c>
      <c r="D1158" s="5">
        <v>2097955</v>
      </c>
      <c r="E1158" s="5">
        <v>2670</v>
      </c>
      <c r="F1158" s="5">
        <v>883644</v>
      </c>
      <c r="G1158" s="5">
        <v>103875</v>
      </c>
      <c r="H1158" s="5">
        <v>4000</v>
      </c>
      <c r="I1158" s="5">
        <v>1500</v>
      </c>
    </row>
    <row r="1159" spans="2:9" ht="15.6" x14ac:dyDescent="0.3">
      <c r="B1159" s="18" t="s">
        <v>32</v>
      </c>
      <c r="C1159" s="18"/>
      <c r="D1159" s="7">
        <f>SUM(D1147:D1158)</f>
        <v>43141065</v>
      </c>
      <c r="E1159" s="8"/>
      <c r="F1159" s="7">
        <f>SUM(F1147:F1158)</f>
        <v>11612560</v>
      </c>
      <c r="G1159" s="7">
        <f>SUM(G1147:G1158)</f>
        <v>2973780</v>
      </c>
      <c r="H1159" s="6"/>
      <c r="I1159" s="6"/>
    </row>
    <row r="1161" spans="2:9" ht="15.6" x14ac:dyDescent="0.3">
      <c r="B1161" s="17" t="s">
        <v>112</v>
      </c>
      <c r="C1161" s="17"/>
      <c r="D1161" s="17"/>
    </row>
    <row r="1162" spans="2:9" x14ac:dyDescent="0.3">
      <c r="B1162" s="4" t="s">
        <v>48</v>
      </c>
      <c r="C1162" s="5">
        <v>0</v>
      </c>
      <c r="D1162" s="5">
        <v>0</v>
      </c>
      <c r="E1162" s="5">
        <v>100</v>
      </c>
      <c r="F1162" s="5">
        <v>21470</v>
      </c>
      <c r="G1162" s="5">
        <v>0</v>
      </c>
      <c r="H1162" s="5">
        <v>0</v>
      </c>
      <c r="I1162" s="5">
        <v>0</v>
      </c>
    </row>
    <row r="1163" spans="2:9" x14ac:dyDescent="0.3">
      <c r="B1163" s="4" t="s">
        <v>18</v>
      </c>
      <c r="C1163" s="5">
        <v>25900</v>
      </c>
      <c r="D1163" s="5">
        <v>10359490</v>
      </c>
      <c r="E1163" s="5">
        <v>0</v>
      </c>
      <c r="F1163" s="5">
        <v>0</v>
      </c>
      <c r="G1163" s="5">
        <v>0</v>
      </c>
      <c r="H1163" s="5">
        <v>26000</v>
      </c>
      <c r="I1163" s="5">
        <v>0</v>
      </c>
    </row>
    <row r="1164" spans="2:9" x14ac:dyDescent="0.3">
      <c r="B1164" s="4" t="s">
        <v>21</v>
      </c>
      <c r="C1164" s="5">
        <v>242815</v>
      </c>
      <c r="D1164" s="5">
        <v>92401882</v>
      </c>
      <c r="E1164" s="5">
        <v>44928</v>
      </c>
      <c r="F1164" s="5">
        <v>17638580</v>
      </c>
      <c r="G1164" s="5">
        <v>0</v>
      </c>
      <c r="H1164" s="5">
        <v>188000</v>
      </c>
      <c r="I1164" s="5">
        <v>0</v>
      </c>
    </row>
    <row r="1165" spans="2:9" x14ac:dyDescent="0.3">
      <c r="B1165" s="4" t="s">
        <v>22</v>
      </c>
      <c r="C1165" s="5">
        <v>390</v>
      </c>
      <c r="D1165" s="5">
        <v>172718</v>
      </c>
      <c r="E1165" s="5">
        <v>225</v>
      </c>
      <c r="F1165" s="5">
        <v>104440</v>
      </c>
      <c r="G1165" s="5">
        <v>0</v>
      </c>
      <c r="H1165" s="5">
        <v>0</v>
      </c>
      <c r="I1165" s="5">
        <v>0</v>
      </c>
    </row>
    <row r="1166" spans="2:9" x14ac:dyDescent="0.3">
      <c r="B1166" s="4" t="s">
        <v>23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4000</v>
      </c>
      <c r="I1166" s="5">
        <v>78702000</v>
      </c>
    </row>
    <row r="1167" spans="2:9" x14ac:dyDescent="0.3">
      <c r="B1167" s="4" t="s">
        <v>26</v>
      </c>
      <c r="C1167" s="5">
        <v>720</v>
      </c>
      <c r="D1167" s="5">
        <v>60265</v>
      </c>
      <c r="E1167" s="5">
        <v>220</v>
      </c>
      <c r="F1167" s="5">
        <v>20720</v>
      </c>
      <c r="G1167" s="5">
        <v>0</v>
      </c>
      <c r="H1167" s="5">
        <v>0</v>
      </c>
      <c r="I1167" s="5">
        <v>0</v>
      </c>
    </row>
    <row r="1168" spans="2:9" x14ac:dyDescent="0.3">
      <c r="B1168" s="4" t="s">
        <v>27</v>
      </c>
      <c r="C1168" s="5">
        <v>841</v>
      </c>
      <c r="D1168" s="5">
        <v>61715</v>
      </c>
      <c r="E1168" s="5">
        <v>1460</v>
      </c>
      <c r="F1168" s="5">
        <v>119905</v>
      </c>
      <c r="G1168" s="5">
        <v>0</v>
      </c>
      <c r="H1168" s="5">
        <v>0</v>
      </c>
      <c r="I1168" s="5">
        <v>0</v>
      </c>
    </row>
    <row r="1169" spans="2:9" x14ac:dyDescent="0.3">
      <c r="B1169" s="4" t="s">
        <v>34</v>
      </c>
      <c r="C1169" s="5">
        <v>0</v>
      </c>
      <c r="D1169" s="5">
        <v>0</v>
      </c>
      <c r="E1169" s="5">
        <v>34210</v>
      </c>
      <c r="F1169" s="5">
        <v>138550</v>
      </c>
      <c r="G1169" s="5">
        <v>0</v>
      </c>
      <c r="H1169" s="5">
        <v>0</v>
      </c>
      <c r="I1169" s="5">
        <v>20000</v>
      </c>
    </row>
    <row r="1170" spans="2:9" x14ac:dyDescent="0.3">
      <c r="B1170" s="4" t="s">
        <v>30</v>
      </c>
      <c r="C1170" s="5">
        <v>4515</v>
      </c>
      <c r="D1170" s="5">
        <v>48670</v>
      </c>
      <c r="E1170" s="5">
        <v>7100</v>
      </c>
      <c r="F1170" s="5">
        <v>99400</v>
      </c>
      <c r="G1170" s="5">
        <v>0</v>
      </c>
      <c r="H1170" s="5">
        <v>0</v>
      </c>
      <c r="I1170" s="5">
        <v>6000</v>
      </c>
    </row>
    <row r="1171" spans="2:9" x14ac:dyDescent="0.3">
      <c r="B1171" s="4" t="s">
        <v>31</v>
      </c>
      <c r="C1171" s="5">
        <v>3000</v>
      </c>
      <c r="D1171" s="5">
        <v>1053500</v>
      </c>
      <c r="E1171" s="5">
        <v>7675</v>
      </c>
      <c r="F1171" s="5">
        <v>2823645</v>
      </c>
      <c r="G1171" s="5">
        <v>0</v>
      </c>
      <c r="H1171" s="5">
        <v>0</v>
      </c>
      <c r="I1171" s="5">
        <v>4500</v>
      </c>
    </row>
    <row r="1172" spans="2:9" ht="15.6" x14ac:dyDescent="0.3">
      <c r="B1172" s="18" t="s">
        <v>32</v>
      </c>
      <c r="C1172" s="18"/>
      <c r="D1172" s="7">
        <f>SUM(D1162:D1171)</f>
        <v>104158240</v>
      </c>
      <c r="E1172" s="8"/>
      <c r="F1172" s="7">
        <f>SUM(F1162:F1171)</f>
        <v>20966710</v>
      </c>
      <c r="G1172" s="7">
        <f>SUM(G1162:G1171)</f>
        <v>0</v>
      </c>
      <c r="H1172" s="6"/>
      <c r="I1172" s="6"/>
    </row>
    <row r="1174" spans="2:9" ht="15.6" x14ac:dyDescent="0.3">
      <c r="B1174" s="17" t="s">
        <v>113</v>
      </c>
      <c r="C1174" s="17"/>
      <c r="D1174" s="17"/>
    </row>
    <row r="1175" spans="2:9" x14ac:dyDescent="0.3">
      <c r="B1175" s="4" t="s">
        <v>38</v>
      </c>
      <c r="C1175" s="5">
        <v>0</v>
      </c>
      <c r="D1175" s="5">
        <v>0</v>
      </c>
      <c r="E1175" s="5">
        <v>260</v>
      </c>
      <c r="F1175" s="5">
        <v>54405</v>
      </c>
      <c r="G1175" s="5">
        <v>0</v>
      </c>
      <c r="H1175" s="5">
        <v>0</v>
      </c>
      <c r="I1175" s="5">
        <v>0</v>
      </c>
    </row>
    <row r="1176" spans="2:9" x14ac:dyDescent="0.3">
      <c r="B1176" s="4" t="s">
        <v>17</v>
      </c>
      <c r="C1176" s="5">
        <v>75</v>
      </c>
      <c r="D1176" s="5">
        <v>19223</v>
      </c>
      <c r="E1176" s="5">
        <v>0</v>
      </c>
      <c r="F1176" s="5">
        <v>0</v>
      </c>
      <c r="G1176" s="5">
        <v>0</v>
      </c>
      <c r="H1176" s="5">
        <v>100</v>
      </c>
      <c r="I1176" s="5">
        <v>0</v>
      </c>
    </row>
    <row r="1177" spans="2:9" x14ac:dyDescent="0.3">
      <c r="B1177" s="4" t="s">
        <v>18</v>
      </c>
      <c r="C1177" s="5">
        <v>11230</v>
      </c>
      <c r="D1177" s="5">
        <v>4542649</v>
      </c>
      <c r="E1177" s="5">
        <v>1680</v>
      </c>
      <c r="F1177" s="5">
        <v>691435</v>
      </c>
      <c r="G1177" s="5">
        <v>0</v>
      </c>
      <c r="H1177" s="5">
        <v>10000</v>
      </c>
      <c r="I1177" s="5">
        <v>0</v>
      </c>
    </row>
    <row r="1178" spans="2:9" x14ac:dyDescent="0.3">
      <c r="B1178" s="4" t="s">
        <v>20</v>
      </c>
      <c r="C1178" s="5">
        <v>5400</v>
      </c>
      <c r="D1178" s="5">
        <v>78840</v>
      </c>
      <c r="E1178" s="5">
        <v>1900</v>
      </c>
      <c r="F1178" s="5">
        <v>32551</v>
      </c>
      <c r="G1178" s="5">
        <v>0</v>
      </c>
      <c r="H1178" s="5">
        <v>0</v>
      </c>
      <c r="I1178" s="5">
        <v>0</v>
      </c>
    </row>
    <row r="1179" spans="2:9" x14ac:dyDescent="0.3">
      <c r="B1179" s="4" t="s">
        <v>21</v>
      </c>
      <c r="C1179" s="5">
        <v>262891</v>
      </c>
      <c r="D1179" s="5">
        <v>100658039</v>
      </c>
      <c r="E1179" s="5">
        <v>96447</v>
      </c>
      <c r="F1179" s="5">
        <v>37485301</v>
      </c>
      <c r="G1179" s="5">
        <v>0</v>
      </c>
      <c r="H1179" s="5">
        <v>178500</v>
      </c>
      <c r="I1179" s="5">
        <v>8110</v>
      </c>
    </row>
    <row r="1180" spans="2:9" x14ac:dyDescent="0.3">
      <c r="B1180" s="4" t="s">
        <v>22</v>
      </c>
      <c r="C1180" s="5">
        <v>4250</v>
      </c>
      <c r="D1180" s="5">
        <v>1895415</v>
      </c>
      <c r="E1180" s="5">
        <v>4135</v>
      </c>
      <c r="F1180" s="5">
        <v>1882758</v>
      </c>
      <c r="G1180" s="5">
        <v>0</v>
      </c>
      <c r="H1180" s="5">
        <v>3500</v>
      </c>
      <c r="I1180" s="5">
        <v>2500</v>
      </c>
    </row>
    <row r="1181" spans="2:9" x14ac:dyDescent="0.3">
      <c r="B1181" s="4" t="s">
        <v>23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2000000</v>
      </c>
      <c r="I1181" s="5">
        <v>82434000</v>
      </c>
    </row>
    <row r="1182" spans="2:9" x14ac:dyDescent="0.3">
      <c r="B1182" s="4" t="s">
        <v>26</v>
      </c>
      <c r="C1182" s="5">
        <v>1000</v>
      </c>
      <c r="D1182" s="5">
        <v>88600</v>
      </c>
      <c r="E1182" s="5">
        <v>1590</v>
      </c>
      <c r="F1182" s="5">
        <v>148595</v>
      </c>
      <c r="G1182" s="5">
        <v>0</v>
      </c>
      <c r="H1182" s="5">
        <v>0</v>
      </c>
      <c r="I1182" s="5">
        <v>0</v>
      </c>
    </row>
    <row r="1183" spans="2:9" x14ac:dyDescent="0.3">
      <c r="B1183" s="4" t="s">
        <v>27</v>
      </c>
      <c r="C1183" s="5">
        <v>720</v>
      </c>
      <c r="D1183" s="5">
        <v>53510</v>
      </c>
      <c r="E1183" s="5">
        <v>1100</v>
      </c>
      <c r="F1183" s="5">
        <v>87240</v>
      </c>
      <c r="G1183" s="5">
        <v>0</v>
      </c>
      <c r="H1183" s="5">
        <v>0</v>
      </c>
      <c r="I1183" s="5">
        <v>0</v>
      </c>
    </row>
    <row r="1184" spans="2:9" x14ac:dyDescent="0.3">
      <c r="B1184" s="4" t="s">
        <v>34</v>
      </c>
      <c r="C1184" s="5">
        <v>7000</v>
      </c>
      <c r="D1184" s="5">
        <v>21000</v>
      </c>
      <c r="E1184" s="5">
        <v>53980</v>
      </c>
      <c r="F1184" s="5">
        <v>218620</v>
      </c>
      <c r="G1184" s="5">
        <v>0</v>
      </c>
      <c r="H1184" s="5">
        <v>0</v>
      </c>
      <c r="I1184" s="5">
        <v>30000</v>
      </c>
    </row>
    <row r="1185" spans="2:9" x14ac:dyDescent="0.3">
      <c r="B1185" s="4" t="s">
        <v>31</v>
      </c>
      <c r="C1185" s="5">
        <v>44010</v>
      </c>
      <c r="D1185" s="5">
        <v>15701594</v>
      </c>
      <c r="E1185" s="5">
        <v>10972</v>
      </c>
      <c r="F1185" s="5">
        <v>3961465</v>
      </c>
      <c r="G1185" s="5">
        <v>0</v>
      </c>
      <c r="H1185" s="5">
        <v>30000</v>
      </c>
      <c r="I1185" s="5">
        <v>0</v>
      </c>
    </row>
    <row r="1186" spans="2:9" ht="15.6" x14ac:dyDescent="0.3">
      <c r="B1186" s="18" t="s">
        <v>32</v>
      </c>
      <c r="C1186" s="18"/>
      <c r="D1186" s="7">
        <f>SUM(D1175:D1185)</f>
        <v>123058870</v>
      </c>
      <c r="E1186" s="8"/>
      <c r="F1186" s="7">
        <f>SUM(F1175:F1185)</f>
        <v>44562370</v>
      </c>
      <c r="G1186" s="7">
        <f>SUM(G1175:G1185)</f>
        <v>0</v>
      </c>
      <c r="H1186" s="6"/>
      <c r="I1186" s="6"/>
    </row>
    <row r="1188" spans="2:9" ht="15.6" x14ac:dyDescent="0.3">
      <c r="B1188" s="17" t="s">
        <v>114</v>
      </c>
      <c r="C1188" s="17"/>
      <c r="D1188" s="17"/>
    </row>
    <row r="1189" spans="2:9" x14ac:dyDescent="0.3">
      <c r="B1189" s="4" t="s">
        <v>16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2138</v>
      </c>
      <c r="I1189" s="5">
        <v>2138</v>
      </c>
    </row>
    <row r="1190" spans="2:9" x14ac:dyDescent="0.3">
      <c r="B1190" s="4" t="s">
        <v>17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4900</v>
      </c>
      <c r="I1190" s="5">
        <v>1500</v>
      </c>
    </row>
    <row r="1191" spans="2:9" x14ac:dyDescent="0.3">
      <c r="B1191" s="4" t="s">
        <v>18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123000</v>
      </c>
      <c r="I1191" s="5">
        <v>138000</v>
      </c>
    </row>
    <row r="1192" spans="2:9" x14ac:dyDescent="0.3">
      <c r="B1192" s="4" t="s">
        <v>20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35000</v>
      </c>
      <c r="I1192" s="5">
        <v>0</v>
      </c>
    </row>
    <row r="1193" spans="2:9" x14ac:dyDescent="0.3">
      <c r="B1193" s="4" t="s">
        <v>21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1254610</v>
      </c>
      <c r="I1193" s="5">
        <v>1179500</v>
      </c>
    </row>
    <row r="1194" spans="2:9" x14ac:dyDescent="0.3">
      <c r="B1194" s="4" t="s">
        <v>22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21500</v>
      </c>
      <c r="I1194" s="5">
        <v>20000</v>
      </c>
    </row>
    <row r="1195" spans="2:9" x14ac:dyDescent="0.3">
      <c r="B1195" s="4" t="s">
        <v>23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535632245</v>
      </c>
      <c r="I1195" s="5">
        <v>578063205</v>
      </c>
    </row>
    <row r="1196" spans="2:9" x14ac:dyDescent="0.3">
      <c r="B1196" s="4" t="s">
        <v>36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9000</v>
      </c>
      <c r="I1196" s="5">
        <v>9000</v>
      </c>
    </row>
    <row r="1197" spans="2:9" x14ac:dyDescent="0.3">
      <c r="B1197" s="4" t="s">
        <v>24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1000</v>
      </c>
      <c r="I1197" s="5">
        <v>1000</v>
      </c>
    </row>
    <row r="1198" spans="2:9" x14ac:dyDescent="0.3">
      <c r="B1198" s="4" t="s">
        <v>26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13000</v>
      </c>
      <c r="I1198" s="5">
        <v>10000</v>
      </c>
    </row>
    <row r="1199" spans="2:9" x14ac:dyDescent="0.3">
      <c r="B1199" s="4" t="s">
        <v>27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8000</v>
      </c>
      <c r="I1199" s="5">
        <v>30150</v>
      </c>
    </row>
    <row r="1200" spans="2:9" x14ac:dyDescent="0.3">
      <c r="B1200" s="4" t="s">
        <v>34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80000</v>
      </c>
      <c r="I1200" s="5">
        <v>0</v>
      </c>
    </row>
    <row r="1201" spans="2:9" x14ac:dyDescent="0.3">
      <c r="B1201" s="4" t="s">
        <v>30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58000</v>
      </c>
      <c r="I1201" s="5">
        <v>49000</v>
      </c>
    </row>
    <row r="1202" spans="2:9" x14ac:dyDescent="0.3">
      <c r="B1202" s="4" t="s">
        <v>31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55500</v>
      </c>
      <c r="I1202" s="5">
        <v>63000</v>
      </c>
    </row>
    <row r="1203" spans="2:9" ht="15.6" x14ac:dyDescent="0.3">
      <c r="B1203" s="18" t="s">
        <v>32</v>
      </c>
      <c r="C1203" s="18"/>
      <c r="D1203" s="7">
        <f>SUM(D1189:D1202)</f>
        <v>0</v>
      </c>
      <c r="E1203" s="8"/>
      <c r="F1203" s="7">
        <f>SUM(F1189:F1202)</f>
        <v>0</v>
      </c>
      <c r="G1203" s="7">
        <f>SUM(G1189:G1202)</f>
        <v>0</v>
      </c>
      <c r="H1203" s="6"/>
      <c r="I1203" s="6"/>
    </row>
    <row r="1205" spans="2:9" ht="15.6" x14ac:dyDescent="0.3">
      <c r="B1205" s="17" t="s">
        <v>115</v>
      </c>
      <c r="C1205" s="17"/>
      <c r="D1205" s="17"/>
    </row>
    <row r="1206" spans="2:9" x14ac:dyDescent="0.3">
      <c r="B1206" s="4" t="s">
        <v>15</v>
      </c>
      <c r="C1206" s="5">
        <v>340</v>
      </c>
      <c r="D1206" s="5">
        <v>76560</v>
      </c>
      <c r="E1206" s="5">
        <v>20</v>
      </c>
      <c r="F1206" s="5">
        <v>4822</v>
      </c>
      <c r="G1206" s="5">
        <v>0</v>
      </c>
      <c r="H1206" s="5">
        <v>0</v>
      </c>
      <c r="I1206" s="5">
        <v>0</v>
      </c>
    </row>
    <row r="1207" spans="2:9" x14ac:dyDescent="0.3">
      <c r="B1207" s="4" t="s">
        <v>48</v>
      </c>
      <c r="C1207" s="5">
        <v>90</v>
      </c>
      <c r="D1207" s="5">
        <v>16760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</row>
    <row r="1208" spans="2:9" x14ac:dyDescent="0.3">
      <c r="B1208" s="4" t="s">
        <v>38</v>
      </c>
      <c r="C1208" s="5">
        <v>0</v>
      </c>
      <c r="D1208" s="5">
        <v>0</v>
      </c>
      <c r="E1208" s="5">
        <v>5</v>
      </c>
      <c r="F1208" s="5">
        <v>1055</v>
      </c>
      <c r="G1208" s="5">
        <v>0</v>
      </c>
      <c r="H1208" s="5">
        <v>0</v>
      </c>
      <c r="I1208" s="5">
        <v>0</v>
      </c>
    </row>
    <row r="1209" spans="2:9" x14ac:dyDescent="0.3">
      <c r="B1209" s="4" t="s">
        <v>16</v>
      </c>
      <c r="C1209" s="5">
        <v>0</v>
      </c>
      <c r="D1209" s="5">
        <v>0</v>
      </c>
      <c r="E1209" s="5">
        <v>7</v>
      </c>
      <c r="F1209" s="5">
        <v>586</v>
      </c>
      <c r="G1209" s="5">
        <v>0</v>
      </c>
      <c r="H1209" s="5">
        <v>0</v>
      </c>
      <c r="I1209" s="5">
        <v>2138</v>
      </c>
    </row>
    <row r="1210" spans="2:9" x14ac:dyDescent="0.3">
      <c r="B1210" s="4" t="s">
        <v>17</v>
      </c>
      <c r="C1210" s="5">
        <v>800</v>
      </c>
      <c r="D1210" s="5">
        <v>204765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</row>
    <row r="1211" spans="2:9" x14ac:dyDescent="0.3">
      <c r="B1211" s="4" t="s">
        <v>18</v>
      </c>
      <c r="C1211" s="5">
        <v>320</v>
      </c>
      <c r="D1211" s="5">
        <v>127090</v>
      </c>
      <c r="E1211" s="5">
        <v>1600</v>
      </c>
      <c r="F1211" s="5">
        <v>253045</v>
      </c>
      <c r="G1211" s="5">
        <v>421490</v>
      </c>
      <c r="H1211" s="5">
        <v>0</v>
      </c>
      <c r="I1211" s="5">
        <v>1000</v>
      </c>
    </row>
    <row r="1212" spans="2:9" x14ac:dyDescent="0.3">
      <c r="B1212" s="4" t="s">
        <v>19</v>
      </c>
      <c r="C1212" s="5">
        <v>10</v>
      </c>
      <c r="D1212" s="5">
        <v>400</v>
      </c>
      <c r="E1212" s="5">
        <v>19</v>
      </c>
      <c r="F1212" s="5">
        <v>1090</v>
      </c>
      <c r="G1212" s="5">
        <v>0</v>
      </c>
      <c r="H1212" s="5">
        <v>0</v>
      </c>
      <c r="I1212" s="5">
        <v>0</v>
      </c>
    </row>
    <row r="1213" spans="2:9" x14ac:dyDescent="0.3">
      <c r="B1213" s="4" t="s">
        <v>20</v>
      </c>
      <c r="C1213" s="5">
        <v>600</v>
      </c>
      <c r="D1213" s="5">
        <v>8100</v>
      </c>
      <c r="E1213" s="5">
        <v>8700</v>
      </c>
      <c r="F1213" s="5">
        <v>99065</v>
      </c>
      <c r="G1213" s="5">
        <v>52290</v>
      </c>
      <c r="H1213" s="5">
        <v>0</v>
      </c>
      <c r="I1213" s="5">
        <v>5000</v>
      </c>
    </row>
    <row r="1214" spans="2:9" x14ac:dyDescent="0.3">
      <c r="B1214" s="4" t="s">
        <v>21</v>
      </c>
      <c r="C1214" s="5">
        <v>70588</v>
      </c>
      <c r="D1214" s="5">
        <v>26831035</v>
      </c>
      <c r="E1214" s="5">
        <v>27620</v>
      </c>
      <c r="F1214" s="5">
        <v>8377335</v>
      </c>
      <c r="G1214" s="5">
        <v>2477599</v>
      </c>
      <c r="H1214" s="5">
        <v>55000</v>
      </c>
      <c r="I1214" s="5">
        <v>500</v>
      </c>
    </row>
    <row r="1215" spans="2:9" x14ac:dyDescent="0.3">
      <c r="B1215" s="4" t="s">
        <v>22</v>
      </c>
      <c r="C1215" s="5">
        <v>450</v>
      </c>
      <c r="D1215" s="5">
        <v>199050</v>
      </c>
      <c r="E1215" s="5">
        <v>1560</v>
      </c>
      <c r="F1215" s="5">
        <v>430640</v>
      </c>
      <c r="G1215" s="5">
        <v>292575</v>
      </c>
      <c r="H1215" s="5">
        <v>0</v>
      </c>
      <c r="I1215" s="5">
        <v>1000</v>
      </c>
    </row>
    <row r="1216" spans="2:9" x14ac:dyDescent="0.3">
      <c r="B1216" s="4" t="s">
        <v>23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19051000</v>
      </c>
    </row>
    <row r="1217" spans="2:9" x14ac:dyDescent="0.3">
      <c r="B1217" s="4" t="s">
        <v>36</v>
      </c>
      <c r="C1217" s="5">
        <v>200</v>
      </c>
      <c r="D1217" s="5">
        <v>17600</v>
      </c>
      <c r="E1217" s="5">
        <v>1500</v>
      </c>
      <c r="F1217" s="5">
        <v>155460</v>
      </c>
      <c r="G1217" s="5">
        <v>0</v>
      </c>
      <c r="H1217" s="5">
        <v>0</v>
      </c>
      <c r="I1217" s="5">
        <v>9000</v>
      </c>
    </row>
    <row r="1218" spans="2:9" x14ac:dyDescent="0.3">
      <c r="B1218" s="4" t="s">
        <v>45</v>
      </c>
      <c r="C1218" s="5">
        <v>20</v>
      </c>
      <c r="D1218" s="5">
        <v>294</v>
      </c>
      <c r="E1218" s="5">
        <v>20</v>
      </c>
      <c r="F1218" s="5">
        <v>570</v>
      </c>
      <c r="G1218" s="5">
        <v>0</v>
      </c>
      <c r="H1218" s="5">
        <v>0</v>
      </c>
      <c r="I1218" s="5">
        <v>0</v>
      </c>
    </row>
    <row r="1219" spans="2:9" x14ac:dyDescent="0.3">
      <c r="B1219" s="4" t="s">
        <v>26</v>
      </c>
      <c r="C1219" s="5">
        <v>0</v>
      </c>
      <c r="D1219" s="5">
        <v>0</v>
      </c>
      <c r="E1219" s="5">
        <v>6210</v>
      </c>
      <c r="F1219" s="5">
        <v>512025</v>
      </c>
      <c r="G1219" s="5">
        <v>87320</v>
      </c>
      <c r="H1219" s="5">
        <v>0</v>
      </c>
      <c r="I1219" s="5">
        <v>5500</v>
      </c>
    </row>
    <row r="1220" spans="2:9" x14ac:dyDescent="0.3">
      <c r="B1220" s="4" t="s">
        <v>27</v>
      </c>
      <c r="C1220" s="5">
        <v>11019</v>
      </c>
      <c r="D1220" s="5">
        <v>806983</v>
      </c>
      <c r="E1220" s="5">
        <v>1277</v>
      </c>
      <c r="F1220" s="5">
        <v>108507</v>
      </c>
      <c r="G1220" s="5">
        <v>0</v>
      </c>
      <c r="H1220" s="5">
        <v>10000</v>
      </c>
      <c r="I1220" s="5">
        <v>0</v>
      </c>
    </row>
    <row r="1221" spans="2:9" x14ac:dyDescent="0.3">
      <c r="B1221" s="4" t="s">
        <v>34</v>
      </c>
      <c r="C1221" s="5">
        <v>1450</v>
      </c>
      <c r="D1221" s="5">
        <v>4350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</row>
    <row r="1222" spans="2:9" x14ac:dyDescent="0.3">
      <c r="B1222" s="4" t="s">
        <v>28</v>
      </c>
      <c r="C1222" s="5">
        <v>0</v>
      </c>
      <c r="D1222" s="5">
        <v>0</v>
      </c>
      <c r="E1222" s="5">
        <v>600</v>
      </c>
      <c r="F1222" s="5">
        <v>3000</v>
      </c>
      <c r="G1222" s="5">
        <v>0</v>
      </c>
      <c r="H1222" s="5">
        <v>0</v>
      </c>
      <c r="I1222" s="5">
        <v>0</v>
      </c>
    </row>
    <row r="1223" spans="2:9" x14ac:dyDescent="0.3">
      <c r="B1223" s="4" t="s">
        <v>30</v>
      </c>
      <c r="C1223" s="5">
        <v>0</v>
      </c>
      <c r="D1223" s="5">
        <v>0</v>
      </c>
      <c r="E1223" s="5">
        <v>21370</v>
      </c>
      <c r="F1223" s="5">
        <v>299180</v>
      </c>
      <c r="G1223" s="5">
        <v>0</v>
      </c>
      <c r="H1223" s="5">
        <v>0</v>
      </c>
      <c r="I1223" s="5">
        <v>22000</v>
      </c>
    </row>
    <row r="1224" spans="2:9" x14ac:dyDescent="0.3">
      <c r="B1224" s="4" t="s">
        <v>31</v>
      </c>
      <c r="C1224" s="5">
        <v>5622</v>
      </c>
      <c r="D1224" s="5">
        <v>1955193</v>
      </c>
      <c r="E1224" s="5">
        <v>8520</v>
      </c>
      <c r="F1224" s="5">
        <v>2640965</v>
      </c>
      <c r="G1224" s="5">
        <v>492586</v>
      </c>
      <c r="H1224" s="5">
        <v>2000</v>
      </c>
      <c r="I1224" s="5">
        <v>7000</v>
      </c>
    </row>
    <row r="1225" spans="2:9" ht="15.6" x14ac:dyDescent="0.3">
      <c r="B1225" s="18" t="s">
        <v>32</v>
      </c>
      <c r="C1225" s="18"/>
      <c r="D1225" s="7">
        <f>SUM(D1206:D1224)</f>
        <v>30248180</v>
      </c>
      <c r="E1225" s="8"/>
      <c r="F1225" s="7">
        <f>SUM(F1206:F1224)</f>
        <v>12887345</v>
      </c>
      <c r="G1225" s="7">
        <f>SUM(G1206:G1224)</f>
        <v>3823860</v>
      </c>
      <c r="H1225" s="6"/>
      <c r="I1225" s="6"/>
    </row>
    <row r="1227" spans="2:9" ht="15.6" x14ac:dyDescent="0.3">
      <c r="B1227" s="17" t="s">
        <v>116</v>
      </c>
      <c r="C1227" s="17"/>
      <c r="D1227" s="17"/>
    </row>
    <row r="1228" spans="2:9" x14ac:dyDescent="0.3">
      <c r="B1228" s="4" t="s">
        <v>17</v>
      </c>
      <c r="C1228" s="5">
        <v>0</v>
      </c>
      <c r="D1228" s="5">
        <v>0</v>
      </c>
      <c r="E1228" s="5">
        <v>400</v>
      </c>
      <c r="F1228" s="5">
        <v>0</v>
      </c>
      <c r="G1228" s="5">
        <v>108085</v>
      </c>
      <c r="H1228" s="5">
        <v>0</v>
      </c>
      <c r="I1228" s="5">
        <v>300</v>
      </c>
    </row>
    <row r="1229" spans="2:9" x14ac:dyDescent="0.3">
      <c r="B1229" s="4" t="s">
        <v>18</v>
      </c>
      <c r="C1229" s="5">
        <v>8240</v>
      </c>
      <c r="D1229" s="5">
        <v>3275275</v>
      </c>
      <c r="E1229" s="5">
        <v>460</v>
      </c>
      <c r="F1229" s="5">
        <v>25200</v>
      </c>
      <c r="G1229" s="5">
        <v>167595</v>
      </c>
      <c r="H1229" s="5">
        <v>7000</v>
      </c>
      <c r="I1229" s="5">
        <v>0</v>
      </c>
    </row>
    <row r="1230" spans="2:9" x14ac:dyDescent="0.3">
      <c r="B1230" s="4" t="s">
        <v>20</v>
      </c>
      <c r="C1230" s="5">
        <v>18000</v>
      </c>
      <c r="D1230" s="5">
        <v>243720</v>
      </c>
      <c r="E1230" s="5">
        <v>7700</v>
      </c>
      <c r="F1230" s="5">
        <v>99470</v>
      </c>
      <c r="G1230" s="5">
        <v>34880</v>
      </c>
      <c r="H1230" s="5">
        <v>0</v>
      </c>
      <c r="I1230" s="5">
        <v>0</v>
      </c>
    </row>
    <row r="1231" spans="2:9" x14ac:dyDescent="0.3">
      <c r="B1231" s="4" t="s">
        <v>21</v>
      </c>
      <c r="C1231" s="5">
        <v>188115</v>
      </c>
      <c r="D1231" s="5">
        <v>71093540</v>
      </c>
      <c r="E1231" s="5">
        <v>87085</v>
      </c>
      <c r="F1231" s="5">
        <v>19731290</v>
      </c>
      <c r="G1231" s="5">
        <v>14589421</v>
      </c>
      <c r="H1231" s="5">
        <v>109000</v>
      </c>
      <c r="I1231" s="5">
        <v>5000</v>
      </c>
    </row>
    <row r="1232" spans="2:9" x14ac:dyDescent="0.3">
      <c r="B1232" s="4" t="s">
        <v>22</v>
      </c>
      <c r="C1232" s="5">
        <v>6965</v>
      </c>
      <c r="D1232" s="5">
        <v>3084790</v>
      </c>
      <c r="E1232" s="5">
        <v>1535</v>
      </c>
      <c r="F1232" s="5">
        <v>516516</v>
      </c>
      <c r="G1232" s="5">
        <v>197029</v>
      </c>
      <c r="H1232" s="5">
        <v>6000</v>
      </c>
      <c r="I1232" s="5">
        <v>1000</v>
      </c>
    </row>
    <row r="1233" spans="2:9" x14ac:dyDescent="0.3">
      <c r="B1233" s="4" t="s">
        <v>23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500000</v>
      </c>
      <c r="I1233" s="5">
        <v>53106000</v>
      </c>
    </row>
    <row r="1234" spans="2:9" x14ac:dyDescent="0.3">
      <c r="B1234" s="4" t="s">
        <v>24</v>
      </c>
      <c r="C1234" s="5">
        <v>0</v>
      </c>
      <c r="D1234" s="5">
        <v>0</v>
      </c>
      <c r="E1234" s="5">
        <v>0</v>
      </c>
      <c r="F1234" s="5">
        <v>0</v>
      </c>
      <c r="G1234" s="5">
        <v>0</v>
      </c>
      <c r="H1234" s="5">
        <v>1000</v>
      </c>
      <c r="I1234" s="5">
        <v>0</v>
      </c>
    </row>
    <row r="1235" spans="2:9" x14ac:dyDescent="0.3">
      <c r="B1235" s="4" t="s">
        <v>26</v>
      </c>
      <c r="C1235" s="5">
        <v>350</v>
      </c>
      <c r="D1235" s="5">
        <v>29825</v>
      </c>
      <c r="E1235" s="5">
        <v>3380</v>
      </c>
      <c r="F1235" s="5">
        <v>130665</v>
      </c>
      <c r="G1235" s="5">
        <v>196730</v>
      </c>
      <c r="H1235" s="5">
        <v>0</v>
      </c>
      <c r="I1235" s="5">
        <v>4000</v>
      </c>
    </row>
    <row r="1236" spans="2:9" x14ac:dyDescent="0.3">
      <c r="B1236" s="4" t="s">
        <v>27</v>
      </c>
      <c r="C1236" s="5">
        <v>4736</v>
      </c>
      <c r="D1236" s="5">
        <v>348725</v>
      </c>
      <c r="E1236" s="5">
        <v>2000</v>
      </c>
      <c r="F1236" s="5">
        <v>146864</v>
      </c>
      <c r="G1236" s="5">
        <v>23850</v>
      </c>
      <c r="H1236" s="5">
        <v>150</v>
      </c>
      <c r="I1236" s="5">
        <v>0</v>
      </c>
    </row>
    <row r="1237" spans="2:9" x14ac:dyDescent="0.3">
      <c r="B1237" s="4" t="s">
        <v>34</v>
      </c>
      <c r="C1237" s="5">
        <v>1490</v>
      </c>
      <c r="D1237" s="5">
        <v>4470</v>
      </c>
      <c r="E1237" s="5">
        <v>19380</v>
      </c>
      <c r="F1237" s="5">
        <v>74440</v>
      </c>
      <c r="G1237" s="5">
        <v>4050</v>
      </c>
      <c r="H1237" s="5">
        <v>0</v>
      </c>
      <c r="I1237" s="5">
        <v>30000</v>
      </c>
    </row>
    <row r="1238" spans="2:9" x14ac:dyDescent="0.3">
      <c r="B1238" s="4" t="s">
        <v>30</v>
      </c>
      <c r="C1238" s="5">
        <v>0</v>
      </c>
      <c r="D1238" s="5">
        <v>0</v>
      </c>
      <c r="E1238" s="5">
        <v>28085</v>
      </c>
      <c r="F1238" s="5">
        <v>0</v>
      </c>
      <c r="G1238" s="5">
        <v>403450</v>
      </c>
      <c r="H1238" s="5">
        <v>0</v>
      </c>
      <c r="I1238" s="5">
        <v>25000</v>
      </c>
    </row>
    <row r="1239" spans="2:9" x14ac:dyDescent="0.3">
      <c r="B1239" s="4" t="s">
        <v>31</v>
      </c>
      <c r="C1239" s="5">
        <v>6693</v>
      </c>
      <c r="D1239" s="5">
        <v>2342440</v>
      </c>
      <c r="E1239" s="5">
        <v>20314</v>
      </c>
      <c r="F1239" s="5">
        <v>4601655</v>
      </c>
      <c r="G1239" s="5">
        <v>2839720</v>
      </c>
      <c r="H1239" s="5">
        <v>500</v>
      </c>
      <c r="I1239" s="5">
        <v>14500</v>
      </c>
    </row>
    <row r="1240" spans="2:9" ht="15.6" x14ac:dyDescent="0.3">
      <c r="B1240" s="18" t="s">
        <v>32</v>
      </c>
      <c r="C1240" s="18"/>
      <c r="D1240" s="7">
        <f>SUM(D1228:D1239)</f>
        <v>80422785</v>
      </c>
      <c r="E1240" s="8"/>
      <c r="F1240" s="7">
        <f>SUM(F1228:F1239)</f>
        <v>25326100</v>
      </c>
      <c r="G1240" s="7">
        <f>SUM(G1228:G1239)</f>
        <v>18564810</v>
      </c>
      <c r="H1240" s="6"/>
      <c r="I1240" s="6"/>
    </row>
    <row r="1242" spans="2:9" ht="15.6" x14ac:dyDescent="0.3">
      <c r="B1242" s="17" t="s">
        <v>117</v>
      </c>
      <c r="C1242" s="17"/>
      <c r="D1242" s="17"/>
    </row>
    <row r="1243" spans="2:9" x14ac:dyDescent="0.3">
      <c r="B1243" s="4" t="s">
        <v>18</v>
      </c>
      <c r="C1243" s="5">
        <v>14530</v>
      </c>
      <c r="D1243" s="5">
        <v>5901230</v>
      </c>
      <c r="E1243" s="5">
        <v>430</v>
      </c>
      <c r="F1243" s="5">
        <v>177299</v>
      </c>
      <c r="G1243" s="5">
        <v>0</v>
      </c>
      <c r="H1243" s="5">
        <v>13000</v>
      </c>
      <c r="I1243" s="5">
        <v>200</v>
      </c>
    </row>
    <row r="1244" spans="2:9" x14ac:dyDescent="0.3">
      <c r="B1244" s="4" t="s">
        <v>20</v>
      </c>
      <c r="C1244" s="5">
        <v>0</v>
      </c>
      <c r="D1244" s="5">
        <v>0</v>
      </c>
      <c r="E1244" s="5">
        <v>3700</v>
      </c>
      <c r="F1244" s="5">
        <v>59903</v>
      </c>
      <c r="G1244" s="5">
        <v>0</v>
      </c>
      <c r="H1244" s="5">
        <v>0</v>
      </c>
      <c r="I1244" s="5">
        <v>10000</v>
      </c>
    </row>
    <row r="1245" spans="2:9" x14ac:dyDescent="0.3">
      <c r="B1245" s="4" t="s">
        <v>21</v>
      </c>
      <c r="C1245" s="5">
        <v>162301</v>
      </c>
      <c r="D1245" s="5">
        <v>62223660</v>
      </c>
      <c r="E1245" s="5">
        <v>94843</v>
      </c>
      <c r="F1245" s="5">
        <v>36950603</v>
      </c>
      <c r="G1245" s="5">
        <v>0</v>
      </c>
      <c r="H1245" s="5">
        <v>74000</v>
      </c>
      <c r="I1245" s="5">
        <v>20000</v>
      </c>
    </row>
    <row r="1246" spans="2:9" x14ac:dyDescent="0.3">
      <c r="B1246" s="4" t="s">
        <v>22</v>
      </c>
      <c r="C1246" s="5">
        <v>5125</v>
      </c>
      <c r="D1246" s="5">
        <v>2268845</v>
      </c>
      <c r="E1246" s="5">
        <v>5490</v>
      </c>
      <c r="F1246" s="5">
        <v>2494180</v>
      </c>
      <c r="G1246" s="5">
        <v>0</v>
      </c>
      <c r="H1246" s="5">
        <v>4000</v>
      </c>
      <c r="I1246" s="5">
        <v>3000</v>
      </c>
    </row>
    <row r="1247" spans="2:9" x14ac:dyDescent="0.3">
      <c r="B1247" s="4" t="s">
        <v>23</v>
      </c>
      <c r="C1247" s="5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4000000</v>
      </c>
      <c r="I1247" s="5">
        <v>38200000</v>
      </c>
    </row>
    <row r="1248" spans="2:9" x14ac:dyDescent="0.3">
      <c r="B1248" s="4" t="s">
        <v>24</v>
      </c>
      <c r="C1248" s="5">
        <v>0</v>
      </c>
      <c r="D1248" s="5">
        <v>0</v>
      </c>
      <c r="E1248" s="5">
        <v>53000</v>
      </c>
      <c r="F1248" s="5">
        <v>132500</v>
      </c>
      <c r="G1248" s="5">
        <v>0</v>
      </c>
      <c r="H1248" s="5">
        <v>0</v>
      </c>
      <c r="I1248" s="5">
        <v>1000</v>
      </c>
    </row>
    <row r="1249" spans="2:9" x14ac:dyDescent="0.3">
      <c r="B1249" s="4" t="s">
        <v>26</v>
      </c>
      <c r="C1249" s="5">
        <v>50</v>
      </c>
      <c r="D1249" s="5">
        <v>4235</v>
      </c>
      <c r="E1249" s="5">
        <v>210</v>
      </c>
      <c r="F1249" s="5">
        <v>19760</v>
      </c>
      <c r="G1249" s="5">
        <v>0</v>
      </c>
      <c r="H1249" s="5">
        <v>0</v>
      </c>
      <c r="I1249" s="5">
        <v>0</v>
      </c>
    </row>
    <row r="1250" spans="2:9" x14ac:dyDescent="0.3">
      <c r="B1250" s="4" t="s">
        <v>27</v>
      </c>
      <c r="C1250" s="5">
        <v>5</v>
      </c>
      <c r="D1250" s="5">
        <v>365</v>
      </c>
      <c r="E1250" s="5">
        <v>2760</v>
      </c>
      <c r="F1250" s="5">
        <v>227120</v>
      </c>
      <c r="G1250" s="5">
        <v>0</v>
      </c>
      <c r="H1250" s="5">
        <v>0</v>
      </c>
      <c r="I1250" s="5">
        <v>5000</v>
      </c>
    </row>
    <row r="1251" spans="2:9" x14ac:dyDescent="0.3">
      <c r="B1251" s="4" t="s">
        <v>34</v>
      </c>
      <c r="C1251" s="5">
        <v>500</v>
      </c>
      <c r="D1251" s="5">
        <v>1500</v>
      </c>
      <c r="E1251" s="5">
        <v>10350</v>
      </c>
      <c r="F1251" s="5">
        <v>41920</v>
      </c>
      <c r="G1251" s="5">
        <v>0</v>
      </c>
      <c r="H1251" s="5">
        <v>0</v>
      </c>
      <c r="I1251" s="5">
        <v>0</v>
      </c>
    </row>
    <row r="1252" spans="2:9" x14ac:dyDescent="0.3">
      <c r="B1252" s="4" t="s">
        <v>30</v>
      </c>
      <c r="C1252" s="5">
        <v>1170</v>
      </c>
      <c r="D1252" s="5">
        <v>11465</v>
      </c>
      <c r="E1252" s="5">
        <v>2970</v>
      </c>
      <c r="F1252" s="5">
        <v>42240</v>
      </c>
      <c r="G1252" s="5">
        <v>0</v>
      </c>
      <c r="H1252" s="5">
        <v>4000</v>
      </c>
      <c r="I1252" s="5">
        <v>3000</v>
      </c>
    </row>
    <row r="1253" spans="2:9" x14ac:dyDescent="0.3">
      <c r="B1253" s="4" t="s">
        <v>31</v>
      </c>
      <c r="C1253" s="5">
        <v>10190</v>
      </c>
      <c r="D1253" s="5">
        <v>3605060</v>
      </c>
      <c r="E1253" s="5">
        <v>10391</v>
      </c>
      <c r="F1253" s="5">
        <v>3776145</v>
      </c>
      <c r="G1253" s="5">
        <v>0</v>
      </c>
      <c r="H1253" s="5">
        <v>4000</v>
      </c>
      <c r="I1253" s="5">
        <v>4000</v>
      </c>
    </row>
    <row r="1254" spans="2:9" ht="15.6" x14ac:dyDescent="0.3">
      <c r="B1254" s="18" t="s">
        <v>32</v>
      </c>
      <c r="C1254" s="18"/>
      <c r="D1254" s="7">
        <f>SUM(D1243:D1253)</f>
        <v>74016360</v>
      </c>
      <c r="E1254" s="8"/>
      <c r="F1254" s="7">
        <f>SUM(F1243:F1253)</f>
        <v>43921670</v>
      </c>
      <c r="G1254" s="7">
        <f>SUM(G1243:G1253)</f>
        <v>0</v>
      </c>
      <c r="H1254" s="6"/>
      <c r="I1254" s="6"/>
    </row>
    <row r="1257" spans="2:9" ht="17.399999999999999" x14ac:dyDescent="0.3">
      <c r="B1257" s="19" t="s">
        <v>118</v>
      </c>
      <c r="C1257" s="19"/>
      <c r="D1257" s="19"/>
      <c r="E1257" s="19"/>
      <c r="F1257" s="19"/>
      <c r="G1257" s="19"/>
      <c r="H1257" s="19"/>
      <c r="I1257" s="19"/>
    </row>
    <row r="1258" spans="2:9" ht="15.6" x14ac:dyDescent="0.3">
      <c r="B1258" s="9" t="s">
        <v>15</v>
      </c>
      <c r="C1258" s="10">
        <v>35935</v>
      </c>
      <c r="D1258" s="10">
        <v>8214586</v>
      </c>
      <c r="E1258" s="10">
        <v>9365</v>
      </c>
      <c r="F1258" s="10">
        <v>2032070</v>
      </c>
      <c r="G1258" s="10">
        <v>207810</v>
      </c>
      <c r="H1258" s="10">
        <v>75700</v>
      </c>
      <c r="I1258" s="10">
        <v>47900</v>
      </c>
    </row>
    <row r="1259" spans="2:9" ht="15.6" x14ac:dyDescent="0.3">
      <c r="B1259" s="9" t="s">
        <v>48</v>
      </c>
      <c r="C1259" s="10">
        <v>780</v>
      </c>
      <c r="D1259" s="10">
        <v>149029</v>
      </c>
      <c r="E1259" s="10">
        <v>1590</v>
      </c>
      <c r="F1259" s="10">
        <v>229655</v>
      </c>
      <c r="G1259" s="10">
        <v>111640</v>
      </c>
      <c r="H1259" s="10">
        <v>0</v>
      </c>
      <c r="I1259" s="10">
        <v>0</v>
      </c>
    </row>
    <row r="1260" spans="2:9" ht="15.6" x14ac:dyDescent="0.3">
      <c r="B1260" s="9" t="s">
        <v>38</v>
      </c>
      <c r="C1260" s="10">
        <v>1281</v>
      </c>
      <c r="D1260" s="10">
        <v>240062</v>
      </c>
      <c r="E1260" s="10">
        <v>9148</v>
      </c>
      <c r="F1260" s="10">
        <v>1534463</v>
      </c>
      <c r="G1260" s="10">
        <v>372599</v>
      </c>
      <c r="H1260" s="10">
        <v>13000</v>
      </c>
      <c r="I1260" s="10">
        <v>13000</v>
      </c>
    </row>
    <row r="1261" spans="2:9" ht="15.6" x14ac:dyDescent="0.3">
      <c r="B1261" s="9" t="s">
        <v>16</v>
      </c>
      <c r="C1261" s="10">
        <v>280</v>
      </c>
      <c r="D1261" s="10">
        <v>16476</v>
      </c>
      <c r="E1261" s="10">
        <v>517</v>
      </c>
      <c r="F1261" s="10">
        <v>43416</v>
      </c>
      <c r="G1261" s="10">
        <v>0</v>
      </c>
      <c r="H1261" s="10">
        <v>7090</v>
      </c>
      <c r="I1261" s="10">
        <v>7090</v>
      </c>
    </row>
    <row r="1262" spans="2:9" ht="15.6" x14ac:dyDescent="0.3">
      <c r="B1262" s="9" t="s">
        <v>17</v>
      </c>
      <c r="C1262" s="10">
        <v>29505</v>
      </c>
      <c r="D1262" s="10">
        <v>7534246</v>
      </c>
      <c r="E1262" s="10">
        <v>23485</v>
      </c>
      <c r="F1262" s="10">
        <v>6053695</v>
      </c>
      <c r="G1262" s="10">
        <v>293335</v>
      </c>
      <c r="H1262" s="10">
        <v>81300</v>
      </c>
      <c r="I1262" s="10">
        <v>77800</v>
      </c>
    </row>
    <row r="1263" spans="2:9" ht="15.6" x14ac:dyDescent="0.3">
      <c r="B1263" s="9" t="s">
        <v>18</v>
      </c>
      <c r="C1263" s="10">
        <v>1002380</v>
      </c>
      <c r="D1263" s="10">
        <v>404162250</v>
      </c>
      <c r="E1263" s="10">
        <v>132570</v>
      </c>
      <c r="F1263" s="10">
        <v>41890462</v>
      </c>
      <c r="G1263" s="10">
        <v>13223414</v>
      </c>
      <c r="H1263" s="10">
        <v>1903400</v>
      </c>
      <c r="I1263" s="10">
        <v>1009400</v>
      </c>
    </row>
    <row r="1264" spans="2:9" ht="15.6" x14ac:dyDescent="0.3">
      <c r="B1264" s="9" t="s">
        <v>19</v>
      </c>
      <c r="C1264" s="10">
        <v>15243</v>
      </c>
      <c r="D1264" s="10">
        <v>613201</v>
      </c>
      <c r="E1264" s="10">
        <v>16111</v>
      </c>
      <c r="F1264" s="10">
        <v>663638</v>
      </c>
      <c r="G1264" s="10">
        <v>258740</v>
      </c>
      <c r="H1264" s="10">
        <v>20696</v>
      </c>
      <c r="I1264" s="10">
        <v>20696</v>
      </c>
    </row>
    <row r="1265" spans="2:9" ht="15.6" x14ac:dyDescent="0.3">
      <c r="B1265" s="9" t="s">
        <v>20</v>
      </c>
      <c r="C1265" s="10">
        <v>529200</v>
      </c>
      <c r="D1265" s="10">
        <v>7468075</v>
      </c>
      <c r="E1265" s="10">
        <v>564200</v>
      </c>
      <c r="F1265" s="10">
        <v>7172283</v>
      </c>
      <c r="G1265" s="10">
        <v>2502655</v>
      </c>
      <c r="H1265" s="10">
        <v>975000</v>
      </c>
      <c r="I1265" s="10">
        <v>1000000</v>
      </c>
    </row>
    <row r="1266" spans="2:9" ht="15.6" x14ac:dyDescent="0.3">
      <c r="B1266" s="9" t="s">
        <v>21</v>
      </c>
      <c r="C1266" s="10">
        <v>12135433</v>
      </c>
      <c r="D1266" s="10">
        <v>4630262614</v>
      </c>
      <c r="E1266" s="10">
        <v>3928209</v>
      </c>
      <c r="F1266" s="10">
        <v>1223823148</v>
      </c>
      <c r="G1266" s="10">
        <v>316245709</v>
      </c>
      <c r="H1266" s="10">
        <v>17787004</v>
      </c>
      <c r="I1266" s="10">
        <v>9387004</v>
      </c>
    </row>
    <row r="1267" spans="2:9" ht="15.6" x14ac:dyDescent="0.3">
      <c r="B1267" s="9" t="s">
        <v>22</v>
      </c>
      <c r="C1267" s="10">
        <v>380010</v>
      </c>
      <c r="D1267" s="10">
        <v>169200010</v>
      </c>
      <c r="E1267" s="10">
        <v>229085</v>
      </c>
      <c r="F1267" s="10">
        <v>86586311</v>
      </c>
      <c r="G1267" s="10">
        <v>18554524</v>
      </c>
      <c r="H1267" s="10">
        <v>568170</v>
      </c>
      <c r="I1267" s="10">
        <v>437170</v>
      </c>
    </row>
    <row r="1268" spans="2:9" ht="15.6" x14ac:dyDescent="0.3">
      <c r="B1268" s="9" t="s">
        <v>23</v>
      </c>
      <c r="C1268" s="10">
        <v>0</v>
      </c>
      <c r="D1268" s="10">
        <v>0</v>
      </c>
      <c r="E1268" s="10">
        <v>0</v>
      </c>
      <c r="F1268" s="10">
        <v>0</v>
      </c>
      <c r="G1268" s="10">
        <v>0</v>
      </c>
      <c r="H1268" s="10">
        <v>4995649365</v>
      </c>
      <c r="I1268" s="10">
        <v>8944536855</v>
      </c>
    </row>
    <row r="1269" spans="2:9" ht="15.6" x14ac:dyDescent="0.3">
      <c r="B1269" s="9" t="s">
        <v>36</v>
      </c>
      <c r="C1269" s="10">
        <v>7150</v>
      </c>
      <c r="D1269" s="10">
        <v>629728</v>
      </c>
      <c r="E1269" s="10">
        <v>1720</v>
      </c>
      <c r="F1269" s="10">
        <v>178305</v>
      </c>
      <c r="G1269" s="10">
        <v>0</v>
      </c>
      <c r="H1269" s="10">
        <v>34000</v>
      </c>
      <c r="I1269" s="10">
        <v>34000</v>
      </c>
    </row>
    <row r="1270" spans="2:9" ht="15.6" x14ac:dyDescent="0.3">
      <c r="B1270" s="9" t="s">
        <v>24</v>
      </c>
      <c r="C1270" s="10">
        <v>682000</v>
      </c>
      <c r="D1270" s="10">
        <v>1578460</v>
      </c>
      <c r="E1270" s="10">
        <v>1857000</v>
      </c>
      <c r="F1270" s="10">
        <v>3865325</v>
      </c>
      <c r="G1270" s="10">
        <v>900805</v>
      </c>
      <c r="H1270" s="10">
        <v>2039000</v>
      </c>
      <c r="I1270" s="10">
        <v>3344000</v>
      </c>
    </row>
    <row r="1271" spans="2:9" ht="15.6" x14ac:dyDescent="0.3">
      <c r="B1271" s="9" t="s">
        <v>45</v>
      </c>
      <c r="C1271" s="10">
        <v>210</v>
      </c>
      <c r="D1271" s="10">
        <v>3089</v>
      </c>
      <c r="E1271" s="10">
        <v>20640</v>
      </c>
      <c r="F1271" s="10">
        <v>475605</v>
      </c>
      <c r="G1271" s="10">
        <v>109815</v>
      </c>
      <c r="H1271" s="10">
        <v>17640</v>
      </c>
      <c r="I1271" s="10">
        <v>36640</v>
      </c>
    </row>
    <row r="1272" spans="2:9" ht="15.6" x14ac:dyDescent="0.3">
      <c r="B1272" s="9" t="s">
        <v>25</v>
      </c>
      <c r="C1272" s="10">
        <v>1070</v>
      </c>
      <c r="D1272" s="10">
        <v>209870</v>
      </c>
      <c r="E1272" s="10">
        <v>1795</v>
      </c>
      <c r="F1272" s="10">
        <v>300038</v>
      </c>
      <c r="G1272" s="10">
        <v>112640</v>
      </c>
      <c r="H1272" s="10">
        <v>2300</v>
      </c>
      <c r="I1272" s="10">
        <v>3300</v>
      </c>
    </row>
    <row r="1273" spans="2:9" ht="15.6" x14ac:dyDescent="0.3">
      <c r="B1273" s="9" t="s">
        <v>26</v>
      </c>
      <c r="C1273" s="10">
        <v>145720</v>
      </c>
      <c r="D1273" s="10">
        <v>12539402</v>
      </c>
      <c r="E1273" s="10">
        <v>866800</v>
      </c>
      <c r="F1273" s="10">
        <v>63275629</v>
      </c>
      <c r="G1273" s="10">
        <v>19281728</v>
      </c>
      <c r="H1273" s="10">
        <v>886400</v>
      </c>
      <c r="I1273" s="10">
        <v>1706400</v>
      </c>
    </row>
    <row r="1274" spans="2:9" ht="15.6" x14ac:dyDescent="0.3">
      <c r="B1274" s="9" t="s">
        <v>27</v>
      </c>
      <c r="C1274" s="10">
        <v>876439</v>
      </c>
      <c r="D1274" s="10">
        <v>64939219</v>
      </c>
      <c r="E1274" s="10">
        <v>848597</v>
      </c>
      <c r="F1274" s="10">
        <v>60356685</v>
      </c>
      <c r="G1274" s="10">
        <v>9931752</v>
      </c>
      <c r="H1274" s="10">
        <v>1035420</v>
      </c>
      <c r="I1274" s="10">
        <v>1065420</v>
      </c>
    </row>
    <row r="1275" spans="2:9" ht="15.6" x14ac:dyDescent="0.3">
      <c r="B1275" s="9" t="s">
        <v>34</v>
      </c>
      <c r="C1275" s="10">
        <v>2624640</v>
      </c>
      <c r="D1275" s="10">
        <v>7698748</v>
      </c>
      <c r="E1275" s="10">
        <v>2688630</v>
      </c>
      <c r="F1275" s="10">
        <v>9317554</v>
      </c>
      <c r="G1275" s="10">
        <v>1553186</v>
      </c>
      <c r="H1275" s="10">
        <v>2380000</v>
      </c>
      <c r="I1275" s="10">
        <v>2380000</v>
      </c>
    </row>
    <row r="1276" spans="2:9" ht="15.6" x14ac:dyDescent="0.3">
      <c r="B1276" s="9" t="s">
        <v>28</v>
      </c>
      <c r="C1276" s="10">
        <v>43470</v>
      </c>
      <c r="D1276" s="10">
        <v>86942</v>
      </c>
      <c r="E1276" s="10">
        <v>299660</v>
      </c>
      <c r="F1276" s="10">
        <v>1408300</v>
      </c>
      <c r="G1276" s="10">
        <v>90000</v>
      </c>
      <c r="H1276" s="10">
        <v>404000</v>
      </c>
      <c r="I1276" s="10">
        <v>404000</v>
      </c>
    </row>
    <row r="1277" spans="2:9" ht="15.6" x14ac:dyDescent="0.3">
      <c r="B1277" s="9" t="s">
        <v>29</v>
      </c>
      <c r="C1277" s="10">
        <v>24790</v>
      </c>
      <c r="D1277" s="10">
        <v>173530</v>
      </c>
      <c r="E1277" s="10">
        <v>208860</v>
      </c>
      <c r="F1277" s="10">
        <v>2797043</v>
      </c>
      <c r="G1277" s="10">
        <v>37890</v>
      </c>
      <c r="H1277" s="10">
        <v>251600</v>
      </c>
      <c r="I1277" s="10">
        <v>515700</v>
      </c>
    </row>
    <row r="1278" spans="2:9" ht="15.6" x14ac:dyDescent="0.3">
      <c r="B1278" s="9" t="s">
        <v>30</v>
      </c>
      <c r="C1278" s="10">
        <v>65665</v>
      </c>
      <c r="D1278" s="10">
        <v>655862</v>
      </c>
      <c r="E1278" s="10">
        <v>493295</v>
      </c>
      <c r="F1278" s="10">
        <v>5892994</v>
      </c>
      <c r="G1278" s="10">
        <v>1218650</v>
      </c>
      <c r="H1278" s="10">
        <v>554700</v>
      </c>
      <c r="I1278" s="10">
        <v>994700</v>
      </c>
    </row>
    <row r="1279" spans="2:9" ht="15.6" x14ac:dyDescent="0.3">
      <c r="B1279" s="9" t="s">
        <v>53</v>
      </c>
      <c r="C1279" s="10">
        <v>0</v>
      </c>
      <c r="D1279" s="10">
        <v>0</v>
      </c>
      <c r="E1279" s="10">
        <v>672</v>
      </c>
      <c r="F1279" s="10">
        <v>10079</v>
      </c>
      <c r="G1279" s="10">
        <v>0</v>
      </c>
      <c r="H1279" s="10">
        <v>0</v>
      </c>
      <c r="I1279" s="10">
        <v>0</v>
      </c>
    </row>
    <row r="1280" spans="2:9" ht="15.6" x14ac:dyDescent="0.3">
      <c r="B1280" s="9" t="s">
        <v>31</v>
      </c>
      <c r="C1280" s="10">
        <v>991044</v>
      </c>
      <c r="D1280" s="10">
        <v>350400586</v>
      </c>
      <c r="E1280" s="10">
        <v>871486</v>
      </c>
      <c r="F1280" s="10">
        <v>263864262</v>
      </c>
      <c r="G1280" s="10">
        <v>54265563</v>
      </c>
      <c r="H1280" s="10">
        <v>1513519</v>
      </c>
      <c r="I1280" s="10">
        <v>1463519</v>
      </c>
    </row>
    <row r="1281" spans="2:9" ht="15.6" x14ac:dyDescent="0.3">
      <c r="B1281" s="20" t="s">
        <v>119</v>
      </c>
      <c r="C1281" s="21"/>
      <c r="D1281" s="11">
        <f>SUM(D1258:D1280)</f>
        <v>5666775985</v>
      </c>
      <c r="E1281" s="12"/>
      <c r="F1281" s="11">
        <f>SUM(F1258:F1280)</f>
        <v>1781770960</v>
      </c>
      <c r="G1281" s="11">
        <f>SUM(G1258:G1280)</f>
        <v>439272455</v>
      </c>
      <c r="H1281" s="12"/>
      <c r="I1281" s="12"/>
    </row>
    <row r="1282" spans="2:9" ht="15.6" x14ac:dyDescent="0.3">
      <c r="B1282" s="9"/>
      <c r="C1282" s="10"/>
      <c r="D1282" s="10"/>
      <c r="E1282" s="10"/>
      <c r="F1282" s="10"/>
      <c r="G1282" s="10"/>
      <c r="H1282" s="10"/>
      <c r="I1282" s="10"/>
    </row>
    <row r="1283" spans="2:9" ht="15.6" x14ac:dyDescent="0.3">
      <c r="B1283" s="9"/>
      <c r="C1283" s="10"/>
      <c r="D1283" s="10"/>
      <c r="E1283" s="10"/>
      <c r="F1283" s="10"/>
      <c r="G1283" s="10"/>
      <c r="H1283" s="10"/>
      <c r="I1283" s="10"/>
    </row>
    <row r="1284" spans="2:9" ht="15.6" x14ac:dyDescent="0.3">
      <c r="B1284" s="9"/>
      <c r="C1284" s="10"/>
      <c r="D1284" s="10"/>
      <c r="E1284" s="10"/>
      <c r="F1284" s="10"/>
      <c r="G1284" s="10"/>
      <c r="H1284" s="10"/>
      <c r="I1284" s="10"/>
    </row>
  </sheetData>
  <mergeCells count="162">
    <mergeCell ref="B2:I2"/>
    <mergeCell ref="B4:B5"/>
    <mergeCell ref="C4:D4"/>
    <mergeCell ref="E4:G4"/>
    <mergeCell ref="H4:H5"/>
    <mergeCell ref="I4:I5"/>
    <mergeCell ref="B55:C55"/>
    <mergeCell ref="B57:D57"/>
    <mergeCell ref="B72:C72"/>
    <mergeCell ref="B74:D74"/>
    <mergeCell ref="B91:C91"/>
    <mergeCell ref="B93:D93"/>
    <mergeCell ref="B6:I6"/>
    <mergeCell ref="B7:D7"/>
    <mergeCell ref="B25:C25"/>
    <mergeCell ref="B27:D27"/>
    <mergeCell ref="B39:C39"/>
    <mergeCell ref="B41:D41"/>
    <mergeCell ref="B146:D146"/>
    <mergeCell ref="B164:C164"/>
    <mergeCell ref="B166:D166"/>
    <mergeCell ref="B177:C177"/>
    <mergeCell ref="B179:D179"/>
    <mergeCell ref="B195:C195"/>
    <mergeCell ref="B110:C110"/>
    <mergeCell ref="B112:D112"/>
    <mergeCell ref="B124:C124"/>
    <mergeCell ref="B126:D126"/>
    <mergeCell ref="B143:C143"/>
    <mergeCell ref="B145:I145"/>
    <mergeCell ref="B247:D247"/>
    <mergeCell ref="B268:C268"/>
    <mergeCell ref="B270:D270"/>
    <mergeCell ref="B290:C290"/>
    <mergeCell ref="B292:D292"/>
    <mergeCell ref="B307:C307"/>
    <mergeCell ref="B197:D197"/>
    <mergeCell ref="B214:C214"/>
    <mergeCell ref="B216:D216"/>
    <mergeCell ref="B233:C233"/>
    <mergeCell ref="B235:D235"/>
    <mergeCell ref="B245:C245"/>
    <mergeCell ref="B370:C370"/>
    <mergeCell ref="B372:D372"/>
    <mergeCell ref="B389:C389"/>
    <mergeCell ref="B391:D391"/>
    <mergeCell ref="B406:C406"/>
    <mergeCell ref="B408:D408"/>
    <mergeCell ref="B309:D309"/>
    <mergeCell ref="B330:C330"/>
    <mergeCell ref="B332:I332"/>
    <mergeCell ref="B333:D333"/>
    <mergeCell ref="B351:C351"/>
    <mergeCell ref="B353:D353"/>
    <mergeCell ref="B477:C477"/>
    <mergeCell ref="B479:D479"/>
    <mergeCell ref="B492:C492"/>
    <mergeCell ref="B494:I494"/>
    <mergeCell ref="B495:D495"/>
    <mergeCell ref="B514:C514"/>
    <mergeCell ref="B423:C423"/>
    <mergeCell ref="B425:D425"/>
    <mergeCell ref="B440:C440"/>
    <mergeCell ref="B442:D442"/>
    <mergeCell ref="B462:C462"/>
    <mergeCell ref="B464:D464"/>
    <mergeCell ref="B565:D565"/>
    <mergeCell ref="B574:C574"/>
    <mergeCell ref="B576:D576"/>
    <mergeCell ref="B591:C591"/>
    <mergeCell ref="B593:D593"/>
    <mergeCell ref="B609:C609"/>
    <mergeCell ref="B516:D516"/>
    <mergeCell ref="B528:C528"/>
    <mergeCell ref="B530:D530"/>
    <mergeCell ref="B542:C542"/>
    <mergeCell ref="B544:D544"/>
    <mergeCell ref="B563:C563"/>
    <mergeCell ref="B666:D666"/>
    <mergeCell ref="B683:C683"/>
    <mergeCell ref="B685:I685"/>
    <mergeCell ref="B686:D686"/>
    <mergeCell ref="B702:C702"/>
    <mergeCell ref="B704:D704"/>
    <mergeCell ref="B611:D611"/>
    <mergeCell ref="B628:C628"/>
    <mergeCell ref="B630:D630"/>
    <mergeCell ref="B649:C649"/>
    <mergeCell ref="B651:D651"/>
    <mergeCell ref="B664:C664"/>
    <mergeCell ref="B768:C768"/>
    <mergeCell ref="B770:D770"/>
    <mergeCell ref="B783:C783"/>
    <mergeCell ref="B785:D785"/>
    <mergeCell ref="B796:C796"/>
    <mergeCell ref="B798:D798"/>
    <mergeCell ref="B718:C718"/>
    <mergeCell ref="B720:D720"/>
    <mergeCell ref="B732:C732"/>
    <mergeCell ref="B734:D734"/>
    <mergeCell ref="B753:C753"/>
    <mergeCell ref="B755:D755"/>
    <mergeCell ref="B852:D852"/>
    <mergeCell ref="B865:C865"/>
    <mergeCell ref="B867:D867"/>
    <mergeCell ref="B882:C882"/>
    <mergeCell ref="B884:D884"/>
    <mergeCell ref="B899:C899"/>
    <mergeCell ref="B814:C814"/>
    <mergeCell ref="B816:D816"/>
    <mergeCell ref="B835:C835"/>
    <mergeCell ref="B837:D837"/>
    <mergeCell ref="B849:C849"/>
    <mergeCell ref="B851:I851"/>
    <mergeCell ref="B952:D952"/>
    <mergeCell ref="B963:C963"/>
    <mergeCell ref="B965:I965"/>
    <mergeCell ref="B966:D966"/>
    <mergeCell ref="B978:C978"/>
    <mergeCell ref="B980:D980"/>
    <mergeCell ref="B901:D901"/>
    <mergeCell ref="B916:C916"/>
    <mergeCell ref="B918:D918"/>
    <mergeCell ref="B933:C933"/>
    <mergeCell ref="B935:D935"/>
    <mergeCell ref="B950:C950"/>
    <mergeCell ref="B1052:C1052"/>
    <mergeCell ref="B1054:D1054"/>
    <mergeCell ref="B1072:C1072"/>
    <mergeCell ref="B1074:D1074"/>
    <mergeCell ref="B1084:C1084"/>
    <mergeCell ref="B1086:D1086"/>
    <mergeCell ref="B993:C993"/>
    <mergeCell ref="B995:D995"/>
    <mergeCell ref="B1011:C1011"/>
    <mergeCell ref="B1013:D1013"/>
    <mergeCell ref="B1030:C1030"/>
    <mergeCell ref="B1032:D1032"/>
    <mergeCell ref="B1131:D1131"/>
    <mergeCell ref="B1144:C1144"/>
    <mergeCell ref="B1146:D1146"/>
    <mergeCell ref="B1159:C1159"/>
    <mergeCell ref="B1161:D1161"/>
    <mergeCell ref="B1172:C1172"/>
    <mergeCell ref="B1100:C1100"/>
    <mergeCell ref="B1102:I1102"/>
    <mergeCell ref="B1103:D1103"/>
    <mergeCell ref="B1116:C1116"/>
    <mergeCell ref="B1118:D1118"/>
    <mergeCell ref="B1129:C1129"/>
    <mergeCell ref="B1227:D1227"/>
    <mergeCell ref="B1240:C1240"/>
    <mergeCell ref="B1242:D1242"/>
    <mergeCell ref="B1254:C1254"/>
    <mergeCell ref="B1257:I1257"/>
    <mergeCell ref="B1281:C1281"/>
    <mergeCell ref="B1174:D1174"/>
    <mergeCell ref="B1186:C1186"/>
    <mergeCell ref="B1188:D1188"/>
    <mergeCell ref="B1203:C1203"/>
    <mergeCell ref="B1205:D1205"/>
    <mergeCell ref="B1225:C12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32AE-D713-4E89-851B-B861A7524B86}">
  <dimension ref="B2:I1258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4.77734375" customWidth="1"/>
    <col min="2" max="2" width="17.77734375" customWidth="1"/>
    <col min="3" max="9" width="18.77734375" customWidth="1"/>
  </cols>
  <sheetData>
    <row r="2" spans="2:9" ht="20.399999999999999" x14ac:dyDescent="0.35">
      <c r="B2" s="24" t="s">
        <v>10</v>
      </c>
      <c r="C2" s="24"/>
      <c r="D2" s="24"/>
      <c r="E2" s="24"/>
      <c r="F2" s="24"/>
      <c r="G2" s="24"/>
      <c r="H2" s="24"/>
      <c r="I2" s="24"/>
    </row>
    <row r="3" spans="2:9" ht="15" thickBot="1" x14ac:dyDescent="0.35"/>
    <row r="4" spans="2:9" ht="16.2" thickTop="1" x14ac:dyDescent="0.3">
      <c r="B4" s="25" t="s">
        <v>1</v>
      </c>
      <c r="C4" s="27" t="s">
        <v>2</v>
      </c>
      <c r="D4" s="27"/>
      <c r="E4" s="28" t="s">
        <v>3</v>
      </c>
      <c r="F4" s="27"/>
      <c r="G4" s="29"/>
      <c r="H4" s="25" t="s">
        <v>4</v>
      </c>
      <c r="I4" s="30" t="s">
        <v>5</v>
      </c>
    </row>
    <row r="5" spans="2:9" ht="15" thickBot="1" x14ac:dyDescent="0.35">
      <c r="B5" s="33"/>
      <c r="C5" s="13" t="s">
        <v>6</v>
      </c>
      <c r="D5" s="13" t="s">
        <v>7</v>
      </c>
      <c r="E5" s="14" t="s">
        <v>6</v>
      </c>
      <c r="F5" s="13" t="s">
        <v>8</v>
      </c>
      <c r="G5" s="15" t="s">
        <v>9</v>
      </c>
      <c r="H5" s="34"/>
      <c r="I5" s="35"/>
    </row>
    <row r="6" spans="2:9" ht="16.2" thickTop="1" x14ac:dyDescent="0.3">
      <c r="B6" s="32" t="s">
        <v>32</v>
      </c>
      <c r="C6" s="32"/>
      <c r="D6" s="7">
        <f ca="1">SUM(D5:D1258)</f>
        <v>0</v>
      </c>
      <c r="E6" s="8"/>
      <c r="F6" s="7">
        <f ca="1">SUM(F5:F1258)</f>
        <v>0</v>
      </c>
      <c r="G6" s="7">
        <f ca="1">SUM(G5:G1258)</f>
        <v>0</v>
      </c>
      <c r="H6" s="16"/>
      <c r="I6" s="16"/>
    </row>
    <row r="7" spans="2:9" x14ac:dyDescent="0.3">
      <c r="B7" s="4"/>
      <c r="C7" s="5"/>
      <c r="D7" s="5"/>
      <c r="E7" s="5"/>
      <c r="F7" s="5"/>
      <c r="G7" s="5"/>
      <c r="H7" s="5"/>
      <c r="I7" s="5"/>
    </row>
    <row r="8" spans="2:9" x14ac:dyDescent="0.3">
      <c r="B8" s="4"/>
      <c r="C8" s="5"/>
      <c r="D8" s="5"/>
      <c r="E8" s="5"/>
      <c r="F8" s="5"/>
      <c r="G8" s="5"/>
      <c r="H8" s="5"/>
      <c r="I8" s="5"/>
    </row>
    <row r="9" spans="2:9" ht="17.399999999999999" x14ac:dyDescent="0.3">
      <c r="B9" s="19" t="s">
        <v>120</v>
      </c>
      <c r="C9" s="19"/>
      <c r="D9" s="19"/>
      <c r="E9" s="19"/>
      <c r="F9" s="19"/>
      <c r="G9" s="19"/>
      <c r="H9" s="19"/>
      <c r="I9" s="19"/>
    </row>
    <row r="10" spans="2:9" ht="15.6" x14ac:dyDescent="0.3">
      <c r="B10" s="20" t="s">
        <v>119</v>
      </c>
      <c r="C10" s="21"/>
      <c r="D10" s="11">
        <f ca="1">SUM(D9:D10)</f>
        <v>0</v>
      </c>
      <c r="E10" s="16"/>
      <c r="F10" s="11">
        <f ca="1">SUM(F9:F10)</f>
        <v>0</v>
      </c>
      <c r="G10" s="11">
        <f ca="1">SUM(G9:G10)</f>
        <v>0</v>
      </c>
      <c r="H10" s="16"/>
      <c r="I10" s="16"/>
    </row>
    <row r="11" spans="2:9" ht="15.6" x14ac:dyDescent="0.3">
      <c r="B11" s="9"/>
      <c r="C11" s="5"/>
      <c r="D11" s="5"/>
      <c r="E11" s="5"/>
      <c r="F11" s="5"/>
      <c r="G11" s="5"/>
      <c r="H11" s="5"/>
      <c r="I11" s="5"/>
    </row>
    <row r="12" spans="2:9" ht="15.6" x14ac:dyDescent="0.3">
      <c r="B12" s="9"/>
      <c r="C12" s="5"/>
      <c r="D12" s="5"/>
      <c r="E12" s="5"/>
      <c r="F12" s="5"/>
      <c r="G12" s="5"/>
      <c r="H12" s="5"/>
      <c r="I12" s="5"/>
    </row>
    <row r="13" spans="2:9" ht="15.6" x14ac:dyDescent="0.3">
      <c r="B13" s="9"/>
      <c r="C13" s="5"/>
      <c r="D13" s="5"/>
      <c r="E13" s="5"/>
      <c r="F13" s="5"/>
      <c r="G13" s="5"/>
      <c r="H13" s="5"/>
      <c r="I13" s="5"/>
    </row>
    <row r="14" spans="2:9" ht="15.6" x14ac:dyDescent="0.3">
      <c r="B14" s="9"/>
      <c r="C14" s="5"/>
      <c r="D14" s="5"/>
      <c r="E14" s="5"/>
      <c r="F14" s="5"/>
      <c r="G14" s="5"/>
      <c r="H14" s="5"/>
      <c r="I14" s="5"/>
    </row>
    <row r="15" spans="2:9" ht="15.6" x14ac:dyDescent="0.3">
      <c r="B15" s="9"/>
      <c r="C15" s="5"/>
      <c r="D15" s="5"/>
      <c r="E15" s="5"/>
      <c r="F15" s="5"/>
      <c r="G15" s="5"/>
      <c r="H15" s="5"/>
      <c r="I15" s="5"/>
    </row>
    <row r="16" spans="2:9" ht="15.6" x14ac:dyDescent="0.3">
      <c r="B16" s="9"/>
      <c r="C16" s="5"/>
      <c r="D16" s="5"/>
      <c r="E16" s="5"/>
      <c r="F16" s="5"/>
      <c r="G16" s="5"/>
      <c r="H16" s="5"/>
      <c r="I16" s="5"/>
    </row>
    <row r="17" spans="2:9" ht="15.6" x14ac:dyDescent="0.3">
      <c r="B17" s="9"/>
      <c r="C17" s="5"/>
      <c r="D17" s="5"/>
      <c r="E17" s="5"/>
      <c r="F17" s="5"/>
      <c r="G17" s="5"/>
      <c r="H17" s="5"/>
      <c r="I17" s="5"/>
    </row>
    <row r="18" spans="2:9" ht="15.6" x14ac:dyDescent="0.3">
      <c r="B18" s="9"/>
      <c r="C18" s="5"/>
      <c r="D18" s="5"/>
      <c r="E18" s="5"/>
      <c r="F18" s="5"/>
      <c r="G18" s="5"/>
      <c r="H18" s="5"/>
      <c r="I18" s="5"/>
    </row>
    <row r="19" spans="2:9" ht="15.6" x14ac:dyDescent="0.3">
      <c r="B19" s="9"/>
      <c r="C19" s="5"/>
      <c r="D19" s="5"/>
      <c r="E19" s="5"/>
      <c r="F19" s="5"/>
      <c r="G19" s="5"/>
      <c r="H19" s="5"/>
      <c r="I19" s="5"/>
    </row>
    <row r="20" spans="2:9" ht="15.6" x14ac:dyDescent="0.3">
      <c r="B20" s="9"/>
      <c r="C20" s="5"/>
      <c r="D20" s="5"/>
      <c r="E20" s="5"/>
      <c r="F20" s="5"/>
      <c r="G20" s="5"/>
      <c r="H20" s="5"/>
      <c r="I20" s="5"/>
    </row>
    <row r="21" spans="2:9" ht="15.6" x14ac:dyDescent="0.3">
      <c r="B21" s="9"/>
      <c r="C21" s="5"/>
      <c r="D21" s="5"/>
      <c r="E21" s="5"/>
      <c r="F21" s="5"/>
      <c r="G21" s="5"/>
      <c r="H21" s="5"/>
      <c r="I21" s="5"/>
    </row>
    <row r="22" spans="2:9" ht="15.6" x14ac:dyDescent="0.3">
      <c r="B22" s="9"/>
      <c r="C22" s="5"/>
      <c r="D22" s="5"/>
      <c r="E22" s="5"/>
      <c r="F22" s="5"/>
      <c r="G22" s="5"/>
      <c r="H22" s="5"/>
      <c r="I22" s="5"/>
    </row>
    <row r="23" spans="2:9" ht="15.6" x14ac:dyDescent="0.3">
      <c r="B23" s="9"/>
      <c r="C23" s="5"/>
      <c r="D23" s="5"/>
      <c r="E23" s="5"/>
      <c r="F23" s="5"/>
      <c r="G23" s="5"/>
      <c r="H23" s="5"/>
      <c r="I23" s="5"/>
    </row>
    <row r="24" spans="2:9" ht="15.6" x14ac:dyDescent="0.3">
      <c r="B24" s="9"/>
      <c r="C24" s="5"/>
      <c r="D24" s="5"/>
      <c r="E24" s="5"/>
      <c r="F24" s="5"/>
      <c r="G24" s="5"/>
      <c r="H24" s="5"/>
      <c r="I24" s="5"/>
    </row>
    <row r="25" spans="2:9" ht="15.6" x14ac:dyDescent="0.3">
      <c r="B25" s="9"/>
      <c r="C25" s="5"/>
      <c r="D25" s="5"/>
      <c r="E25" s="5"/>
      <c r="F25" s="5"/>
      <c r="G25" s="5"/>
      <c r="H25" s="5"/>
      <c r="I25" s="5"/>
    </row>
    <row r="26" spans="2:9" ht="15.6" x14ac:dyDescent="0.3">
      <c r="B26" s="9"/>
      <c r="C26" s="5"/>
      <c r="D26" s="5"/>
      <c r="E26" s="5"/>
      <c r="F26" s="5"/>
      <c r="G26" s="5"/>
      <c r="H26" s="5"/>
      <c r="I26" s="5"/>
    </row>
    <row r="27" spans="2:9" ht="15.6" x14ac:dyDescent="0.3">
      <c r="B27" s="9"/>
      <c r="C27" s="5"/>
      <c r="D27" s="5"/>
      <c r="E27" s="5"/>
      <c r="F27" s="5"/>
      <c r="G27" s="5"/>
      <c r="H27" s="5"/>
      <c r="I27" s="5"/>
    </row>
    <row r="28" spans="2:9" ht="15.6" x14ac:dyDescent="0.3">
      <c r="B28" s="9"/>
      <c r="C28" s="5"/>
      <c r="D28" s="5"/>
      <c r="E28" s="5"/>
      <c r="F28" s="5"/>
      <c r="G28" s="5"/>
      <c r="H28" s="5"/>
      <c r="I28" s="5"/>
    </row>
    <row r="29" spans="2:9" ht="15.6" x14ac:dyDescent="0.3">
      <c r="B29" s="9"/>
      <c r="C29" s="5"/>
      <c r="D29" s="5"/>
      <c r="E29" s="5"/>
      <c r="F29" s="5"/>
      <c r="G29" s="5"/>
      <c r="H29" s="5"/>
      <c r="I29" s="5"/>
    </row>
    <row r="30" spans="2:9" ht="15.6" x14ac:dyDescent="0.3">
      <c r="B30" s="9"/>
      <c r="C30" s="5"/>
      <c r="D30" s="5"/>
      <c r="E30" s="5"/>
      <c r="F30" s="5"/>
      <c r="G30" s="5"/>
      <c r="H30" s="5"/>
      <c r="I30" s="5"/>
    </row>
    <row r="31" spans="2:9" ht="15.6" x14ac:dyDescent="0.3">
      <c r="B31" s="9"/>
      <c r="C31" s="5"/>
      <c r="D31" s="5"/>
      <c r="E31" s="5"/>
      <c r="F31" s="5"/>
      <c r="G31" s="5"/>
      <c r="H31" s="5"/>
      <c r="I31" s="5"/>
    </row>
    <row r="32" spans="2:9" ht="15.6" x14ac:dyDescent="0.3">
      <c r="B32" s="9"/>
      <c r="C32" s="5"/>
      <c r="D32" s="5"/>
      <c r="E32" s="5"/>
      <c r="F32" s="5"/>
      <c r="G32" s="5"/>
      <c r="H32" s="5"/>
      <c r="I32" s="5"/>
    </row>
    <row r="33" spans="2:9" ht="15.6" x14ac:dyDescent="0.3">
      <c r="B33" s="9"/>
      <c r="C33" s="5"/>
      <c r="D33" s="5"/>
      <c r="E33" s="5"/>
      <c r="F33" s="5"/>
      <c r="G33" s="5"/>
      <c r="H33" s="5"/>
      <c r="I33" s="5"/>
    </row>
    <row r="34" spans="2:9" ht="15.6" x14ac:dyDescent="0.3">
      <c r="B34" s="9"/>
      <c r="C34" s="5"/>
      <c r="D34" s="5"/>
      <c r="E34" s="5"/>
      <c r="F34" s="5"/>
      <c r="G34" s="5"/>
      <c r="H34" s="5"/>
      <c r="I34" s="5"/>
    </row>
    <row r="35" spans="2:9" ht="15.6" x14ac:dyDescent="0.3">
      <c r="B35" s="9"/>
      <c r="C35" s="5"/>
      <c r="D35" s="5"/>
      <c r="E35" s="5"/>
      <c r="F35" s="5"/>
      <c r="G35" s="5"/>
      <c r="H35" s="5"/>
      <c r="I35" s="5"/>
    </row>
    <row r="36" spans="2:9" ht="15.6" x14ac:dyDescent="0.3">
      <c r="B36" s="9"/>
      <c r="C36" s="5"/>
      <c r="D36" s="5"/>
      <c r="E36" s="5"/>
      <c r="F36" s="5"/>
      <c r="G36" s="5"/>
      <c r="H36" s="5"/>
      <c r="I36" s="5"/>
    </row>
    <row r="37" spans="2:9" x14ac:dyDescent="0.3">
      <c r="B37" s="4"/>
      <c r="C37" s="5"/>
      <c r="D37" s="5"/>
      <c r="E37" s="5"/>
      <c r="F37" s="5"/>
      <c r="G37" s="5"/>
      <c r="H37" s="5"/>
      <c r="I37" s="5"/>
    </row>
    <row r="38" spans="2:9" x14ac:dyDescent="0.3">
      <c r="B38" s="4"/>
      <c r="C38" s="5"/>
      <c r="D38" s="5"/>
      <c r="E38" s="5"/>
      <c r="F38" s="5"/>
      <c r="G38" s="5"/>
      <c r="H38" s="5"/>
      <c r="I38" s="5"/>
    </row>
    <row r="39" spans="2:9" x14ac:dyDescent="0.3">
      <c r="B39" s="4"/>
      <c r="C39" s="5"/>
      <c r="D39" s="5"/>
      <c r="E39" s="5"/>
      <c r="F39" s="5"/>
      <c r="G39" s="5"/>
      <c r="H39" s="5"/>
      <c r="I39" s="5"/>
    </row>
    <row r="40" spans="2:9" x14ac:dyDescent="0.3">
      <c r="B40" s="4"/>
      <c r="C40" s="5"/>
      <c r="D40" s="5"/>
      <c r="E40" s="5"/>
      <c r="F40" s="5"/>
      <c r="G40" s="5"/>
      <c r="H40" s="5"/>
      <c r="I40" s="5"/>
    </row>
    <row r="41" spans="2:9" x14ac:dyDescent="0.3">
      <c r="B41" s="4"/>
      <c r="C41" s="5"/>
      <c r="D41" s="5"/>
      <c r="E41" s="5"/>
      <c r="F41" s="5"/>
      <c r="G41" s="5"/>
      <c r="H41" s="5"/>
      <c r="I41" s="5"/>
    </row>
    <row r="42" spans="2:9" x14ac:dyDescent="0.3">
      <c r="B42" s="4"/>
      <c r="C42" s="5"/>
      <c r="D42" s="5"/>
      <c r="E42" s="5"/>
      <c r="F42" s="5"/>
      <c r="G42" s="5"/>
      <c r="H42" s="5"/>
      <c r="I42" s="5"/>
    </row>
    <row r="43" spans="2:9" x14ac:dyDescent="0.3">
      <c r="B43" s="4"/>
      <c r="C43" s="5"/>
      <c r="D43" s="5"/>
      <c r="E43" s="5"/>
      <c r="F43" s="5"/>
      <c r="G43" s="5"/>
      <c r="H43" s="5"/>
      <c r="I43" s="5"/>
    </row>
    <row r="44" spans="2:9" x14ac:dyDescent="0.3">
      <c r="B44" s="4"/>
      <c r="C44" s="5"/>
      <c r="D44" s="5"/>
      <c r="E44" s="5"/>
      <c r="F44" s="5"/>
      <c r="G44" s="5"/>
      <c r="H44" s="5"/>
      <c r="I44" s="5"/>
    </row>
    <row r="45" spans="2:9" x14ac:dyDescent="0.3">
      <c r="B45" s="4"/>
      <c r="C45" s="5"/>
      <c r="D45" s="5"/>
      <c r="E45" s="5"/>
      <c r="F45" s="5"/>
      <c r="G45" s="5"/>
      <c r="H45" s="5"/>
      <c r="I45" s="5"/>
    </row>
    <row r="46" spans="2:9" x14ac:dyDescent="0.3">
      <c r="B46" s="4"/>
      <c r="C46" s="5"/>
      <c r="D46" s="5"/>
      <c r="E46" s="5"/>
      <c r="F46" s="5"/>
      <c r="G46" s="5"/>
      <c r="H46" s="5"/>
      <c r="I46" s="5"/>
    </row>
    <row r="47" spans="2:9" x14ac:dyDescent="0.3">
      <c r="B47" s="4"/>
      <c r="C47" s="5"/>
      <c r="D47" s="5"/>
      <c r="E47" s="5"/>
      <c r="F47" s="5"/>
      <c r="G47" s="5"/>
      <c r="H47" s="5"/>
      <c r="I47" s="5"/>
    </row>
    <row r="48" spans="2:9" x14ac:dyDescent="0.3">
      <c r="B48" s="4"/>
      <c r="C48" s="5"/>
      <c r="D48" s="5"/>
      <c r="E48" s="5"/>
      <c r="F48" s="5"/>
      <c r="G48" s="5"/>
      <c r="H48" s="5"/>
      <c r="I48" s="5"/>
    </row>
    <row r="49" spans="2:9" x14ac:dyDescent="0.3">
      <c r="B49" s="4"/>
      <c r="C49" s="5"/>
      <c r="D49" s="5"/>
      <c r="E49" s="5"/>
      <c r="F49" s="5"/>
      <c r="G49" s="5"/>
      <c r="H49" s="5"/>
      <c r="I49" s="5"/>
    </row>
    <row r="50" spans="2:9" x14ac:dyDescent="0.3">
      <c r="B50" s="4"/>
      <c r="C50" s="5"/>
      <c r="D50" s="5"/>
      <c r="E50" s="5"/>
      <c r="F50" s="5"/>
      <c r="G50" s="5"/>
      <c r="H50" s="5"/>
      <c r="I50" s="5"/>
    </row>
    <row r="51" spans="2:9" x14ac:dyDescent="0.3">
      <c r="B51" s="4"/>
      <c r="C51" s="5"/>
      <c r="D51" s="5"/>
      <c r="E51" s="5"/>
      <c r="F51" s="5"/>
      <c r="G51" s="5"/>
      <c r="H51" s="5"/>
      <c r="I51" s="5"/>
    </row>
    <row r="52" spans="2:9" x14ac:dyDescent="0.3">
      <c r="B52" s="4"/>
      <c r="C52" s="5"/>
      <c r="D52" s="5"/>
      <c r="E52" s="5"/>
      <c r="F52" s="5"/>
      <c r="G52" s="5"/>
      <c r="H52" s="5"/>
      <c r="I52" s="5"/>
    </row>
    <row r="53" spans="2:9" x14ac:dyDescent="0.3">
      <c r="B53" s="4"/>
      <c r="C53" s="5"/>
      <c r="D53" s="5"/>
      <c r="E53" s="5"/>
      <c r="F53" s="5"/>
      <c r="G53" s="5"/>
      <c r="H53" s="5"/>
      <c r="I53" s="5"/>
    </row>
    <row r="54" spans="2:9" x14ac:dyDescent="0.3">
      <c r="B54" s="4"/>
      <c r="C54" s="5"/>
      <c r="D54" s="5"/>
      <c r="E54" s="5"/>
      <c r="F54" s="5"/>
      <c r="G54" s="5"/>
      <c r="H54" s="5"/>
      <c r="I54" s="5"/>
    </row>
    <row r="55" spans="2:9" x14ac:dyDescent="0.3">
      <c r="B55" s="4"/>
      <c r="C55" s="5"/>
      <c r="D55" s="5"/>
      <c r="E55" s="5"/>
      <c r="F55" s="5"/>
      <c r="G55" s="5"/>
      <c r="H55" s="5"/>
      <c r="I55" s="5"/>
    </row>
    <row r="56" spans="2:9" x14ac:dyDescent="0.3">
      <c r="B56" s="4"/>
      <c r="C56" s="5"/>
      <c r="D56" s="5"/>
      <c r="E56" s="5"/>
      <c r="F56" s="5"/>
      <c r="G56" s="5"/>
      <c r="H56" s="5"/>
      <c r="I56" s="5"/>
    </row>
    <row r="57" spans="2:9" x14ac:dyDescent="0.3">
      <c r="B57" s="4"/>
      <c r="C57" s="5"/>
      <c r="D57" s="5"/>
      <c r="E57" s="5"/>
      <c r="F57" s="5"/>
      <c r="G57" s="5"/>
      <c r="H57" s="5"/>
      <c r="I57" s="5"/>
    </row>
    <row r="58" spans="2:9" x14ac:dyDescent="0.3">
      <c r="B58" s="4"/>
      <c r="C58" s="5"/>
      <c r="D58" s="5"/>
      <c r="E58" s="5"/>
      <c r="F58" s="5"/>
      <c r="G58" s="5"/>
      <c r="H58" s="5"/>
      <c r="I58" s="5"/>
    </row>
    <row r="59" spans="2:9" x14ac:dyDescent="0.3">
      <c r="B59" s="4"/>
      <c r="C59" s="5"/>
      <c r="D59" s="5"/>
      <c r="E59" s="5"/>
      <c r="F59" s="5"/>
      <c r="G59" s="5"/>
      <c r="H59" s="5"/>
      <c r="I59" s="5"/>
    </row>
    <row r="60" spans="2:9" x14ac:dyDescent="0.3">
      <c r="B60" s="4"/>
      <c r="C60" s="5"/>
      <c r="D60" s="5"/>
      <c r="E60" s="5"/>
      <c r="F60" s="5"/>
      <c r="G60" s="5"/>
      <c r="H60" s="5"/>
      <c r="I60" s="5"/>
    </row>
    <row r="61" spans="2:9" x14ac:dyDescent="0.3">
      <c r="B61" s="4"/>
      <c r="C61" s="5"/>
      <c r="D61" s="5"/>
      <c r="E61" s="5"/>
      <c r="F61" s="5"/>
      <c r="G61" s="5"/>
      <c r="H61" s="5"/>
      <c r="I61" s="5"/>
    </row>
    <row r="62" spans="2:9" x14ac:dyDescent="0.3">
      <c r="B62" s="4"/>
      <c r="C62" s="5"/>
      <c r="D62" s="5"/>
      <c r="E62" s="5"/>
      <c r="F62" s="5"/>
      <c r="G62" s="5"/>
      <c r="H62" s="5"/>
      <c r="I62" s="5"/>
    </row>
    <row r="63" spans="2:9" x14ac:dyDescent="0.3">
      <c r="B63" s="4"/>
      <c r="C63" s="5"/>
      <c r="D63" s="5"/>
      <c r="E63" s="5"/>
      <c r="F63" s="5"/>
      <c r="G63" s="5"/>
      <c r="H63" s="5"/>
      <c r="I63" s="5"/>
    </row>
    <row r="64" spans="2:9" x14ac:dyDescent="0.3">
      <c r="B64" s="4"/>
      <c r="C64" s="5"/>
      <c r="D64" s="5"/>
      <c r="E64" s="5"/>
      <c r="F64" s="5"/>
      <c r="G64" s="5"/>
      <c r="H64" s="5"/>
      <c r="I64" s="5"/>
    </row>
    <row r="65" spans="2:9" x14ac:dyDescent="0.3">
      <c r="B65" s="4"/>
      <c r="C65" s="5"/>
      <c r="D65" s="5"/>
      <c r="E65" s="5"/>
      <c r="F65" s="5"/>
      <c r="G65" s="5"/>
      <c r="H65" s="5"/>
      <c r="I65" s="5"/>
    </row>
    <row r="66" spans="2:9" x14ac:dyDescent="0.3">
      <c r="B66" s="4"/>
      <c r="C66" s="5"/>
      <c r="D66" s="5"/>
      <c r="E66" s="5"/>
      <c r="F66" s="5"/>
      <c r="G66" s="5"/>
      <c r="H66" s="5"/>
      <c r="I66" s="5"/>
    </row>
    <row r="67" spans="2:9" x14ac:dyDescent="0.3">
      <c r="B67" s="4"/>
      <c r="C67" s="5"/>
      <c r="D67" s="5"/>
      <c r="E67" s="5"/>
      <c r="F67" s="5"/>
      <c r="G67" s="5"/>
      <c r="H67" s="5"/>
      <c r="I67" s="5"/>
    </row>
    <row r="68" spans="2:9" x14ac:dyDescent="0.3">
      <c r="B68" s="4"/>
      <c r="C68" s="5"/>
      <c r="D68" s="5"/>
      <c r="E68" s="5"/>
      <c r="F68" s="5"/>
      <c r="G68" s="5"/>
      <c r="H68" s="5"/>
      <c r="I68" s="5"/>
    </row>
    <row r="69" spans="2:9" x14ac:dyDescent="0.3">
      <c r="B69" s="4"/>
      <c r="C69" s="5"/>
      <c r="D69" s="5"/>
      <c r="E69" s="5"/>
      <c r="F69" s="5"/>
      <c r="G69" s="5"/>
      <c r="H69" s="5"/>
      <c r="I69" s="5"/>
    </row>
    <row r="70" spans="2:9" x14ac:dyDescent="0.3">
      <c r="B70" s="4"/>
      <c r="C70" s="5"/>
      <c r="D70" s="5"/>
      <c r="E70" s="5"/>
      <c r="F70" s="5"/>
      <c r="G70" s="5"/>
      <c r="H70" s="5"/>
      <c r="I70" s="5"/>
    </row>
    <row r="71" spans="2:9" x14ac:dyDescent="0.3">
      <c r="B71" s="4"/>
      <c r="C71" s="5"/>
      <c r="D71" s="5"/>
      <c r="E71" s="5"/>
      <c r="F71" s="5"/>
      <c r="G71" s="5"/>
      <c r="H71" s="5"/>
      <c r="I71" s="5"/>
    </row>
    <row r="72" spans="2:9" x14ac:dyDescent="0.3">
      <c r="B72" s="4"/>
      <c r="C72" s="5"/>
      <c r="D72" s="5"/>
      <c r="E72" s="5"/>
      <c r="F72" s="5"/>
      <c r="G72" s="5"/>
      <c r="H72" s="5"/>
      <c r="I72" s="5"/>
    </row>
    <row r="73" spans="2:9" x14ac:dyDescent="0.3">
      <c r="B73" s="4"/>
      <c r="C73" s="5"/>
      <c r="D73" s="5"/>
      <c r="E73" s="5"/>
      <c r="F73" s="5"/>
      <c r="G73" s="5"/>
      <c r="H73" s="5"/>
      <c r="I73" s="5"/>
    </row>
    <row r="74" spans="2:9" x14ac:dyDescent="0.3">
      <c r="B74" s="4"/>
      <c r="C74" s="5"/>
      <c r="D74" s="5"/>
      <c r="E74" s="5"/>
      <c r="F74" s="5"/>
      <c r="G74" s="5"/>
      <c r="H74" s="5"/>
      <c r="I74" s="5"/>
    </row>
    <row r="75" spans="2:9" x14ac:dyDescent="0.3">
      <c r="B75" s="4"/>
      <c r="C75" s="5"/>
      <c r="D75" s="5"/>
      <c r="E75" s="5"/>
      <c r="F75" s="5"/>
      <c r="G75" s="5"/>
      <c r="H75" s="5"/>
      <c r="I75" s="5"/>
    </row>
    <row r="76" spans="2:9" x14ac:dyDescent="0.3">
      <c r="B76" s="4"/>
      <c r="C76" s="5"/>
      <c r="D76" s="5"/>
      <c r="E76" s="5"/>
      <c r="F76" s="5"/>
      <c r="G76" s="5"/>
      <c r="H76" s="5"/>
      <c r="I76" s="5"/>
    </row>
    <row r="77" spans="2:9" x14ac:dyDescent="0.3">
      <c r="B77" s="4"/>
      <c r="C77" s="5"/>
      <c r="D77" s="5"/>
      <c r="E77" s="5"/>
      <c r="F77" s="5"/>
      <c r="G77" s="5"/>
      <c r="H77" s="5"/>
      <c r="I77" s="5"/>
    </row>
    <row r="78" spans="2:9" x14ac:dyDescent="0.3">
      <c r="B78" s="4"/>
      <c r="C78" s="5"/>
      <c r="D78" s="5"/>
      <c r="E78" s="5"/>
      <c r="F78" s="5"/>
      <c r="G78" s="5"/>
      <c r="H78" s="5"/>
      <c r="I78" s="5"/>
    </row>
    <row r="79" spans="2:9" x14ac:dyDescent="0.3">
      <c r="B79" s="4"/>
      <c r="C79" s="5"/>
      <c r="D79" s="5"/>
      <c r="E79" s="5"/>
      <c r="F79" s="5"/>
      <c r="G79" s="5"/>
      <c r="H79" s="5"/>
      <c r="I79" s="5"/>
    </row>
    <row r="80" spans="2:9" x14ac:dyDescent="0.3">
      <c r="B80" s="4"/>
      <c r="C80" s="5"/>
      <c r="D80" s="5"/>
      <c r="E80" s="5"/>
      <c r="F80" s="5"/>
      <c r="G80" s="5"/>
      <c r="H80" s="5"/>
      <c r="I80" s="5"/>
    </row>
    <row r="81" spans="2:9" x14ac:dyDescent="0.3">
      <c r="B81" s="4"/>
      <c r="C81" s="5"/>
      <c r="D81" s="5"/>
      <c r="E81" s="5"/>
      <c r="F81" s="5"/>
      <c r="G81" s="5"/>
      <c r="H81" s="5"/>
      <c r="I81" s="5"/>
    </row>
    <row r="82" spans="2:9" x14ac:dyDescent="0.3">
      <c r="B82" s="4"/>
      <c r="C82" s="5"/>
      <c r="D82" s="5"/>
      <c r="E82" s="5"/>
      <c r="F82" s="5"/>
      <c r="G82" s="5"/>
      <c r="H82" s="5"/>
      <c r="I82" s="5"/>
    </row>
    <row r="83" spans="2:9" x14ac:dyDescent="0.3">
      <c r="B83" s="4"/>
      <c r="C83" s="5"/>
      <c r="D83" s="5"/>
      <c r="E83" s="5"/>
      <c r="F83" s="5"/>
      <c r="G83" s="5"/>
      <c r="H83" s="5"/>
      <c r="I83" s="5"/>
    </row>
    <row r="84" spans="2:9" x14ac:dyDescent="0.3">
      <c r="B84" s="4"/>
      <c r="C84" s="5"/>
      <c r="D84" s="5"/>
      <c r="E84" s="5"/>
      <c r="F84" s="5"/>
      <c r="G84" s="5"/>
      <c r="H84" s="5"/>
      <c r="I84" s="5"/>
    </row>
    <row r="85" spans="2:9" x14ac:dyDescent="0.3">
      <c r="B85" s="4"/>
      <c r="C85" s="5"/>
      <c r="D85" s="5"/>
      <c r="E85" s="5"/>
      <c r="F85" s="5"/>
      <c r="G85" s="5"/>
      <c r="H85" s="5"/>
      <c r="I85" s="5"/>
    </row>
    <row r="86" spans="2:9" x14ac:dyDescent="0.3">
      <c r="B86" s="4"/>
      <c r="C86" s="5"/>
      <c r="D86" s="5"/>
      <c r="E86" s="5"/>
      <c r="F86" s="5"/>
      <c r="G86" s="5"/>
      <c r="H86" s="5"/>
      <c r="I86" s="5"/>
    </row>
    <row r="87" spans="2:9" x14ac:dyDescent="0.3">
      <c r="B87" s="4"/>
      <c r="C87" s="5"/>
      <c r="D87" s="5"/>
      <c r="E87" s="5"/>
      <c r="F87" s="5"/>
      <c r="G87" s="5"/>
      <c r="H87" s="5"/>
      <c r="I87" s="5"/>
    </row>
    <row r="88" spans="2:9" x14ac:dyDescent="0.3">
      <c r="B88" s="4"/>
      <c r="C88" s="5"/>
      <c r="D88" s="5"/>
      <c r="E88" s="5"/>
      <c r="F88" s="5"/>
      <c r="G88" s="5"/>
      <c r="H88" s="5"/>
      <c r="I88" s="5"/>
    </row>
    <row r="89" spans="2:9" x14ac:dyDescent="0.3">
      <c r="B89" s="4"/>
      <c r="C89" s="5"/>
      <c r="D89" s="5"/>
      <c r="E89" s="5"/>
      <c r="F89" s="5"/>
      <c r="G89" s="5"/>
      <c r="H89" s="5"/>
      <c r="I89" s="5"/>
    </row>
    <row r="90" spans="2:9" x14ac:dyDescent="0.3">
      <c r="B90" s="4"/>
      <c r="C90" s="5"/>
      <c r="D90" s="5"/>
      <c r="E90" s="5"/>
      <c r="F90" s="5"/>
      <c r="G90" s="5"/>
      <c r="H90" s="5"/>
      <c r="I90" s="5"/>
    </row>
    <row r="91" spans="2:9" x14ac:dyDescent="0.3">
      <c r="B91" s="4"/>
      <c r="C91" s="5"/>
      <c r="D91" s="5"/>
      <c r="E91" s="5"/>
      <c r="F91" s="5"/>
      <c r="G91" s="5"/>
      <c r="H91" s="5"/>
      <c r="I91" s="5"/>
    </row>
    <row r="92" spans="2:9" x14ac:dyDescent="0.3">
      <c r="B92" s="4"/>
      <c r="C92" s="5"/>
      <c r="D92" s="5"/>
      <c r="E92" s="5"/>
      <c r="F92" s="5"/>
      <c r="G92" s="5"/>
      <c r="H92" s="5"/>
      <c r="I92" s="5"/>
    </row>
    <row r="93" spans="2:9" x14ac:dyDescent="0.3">
      <c r="B93" s="4"/>
      <c r="C93" s="5"/>
      <c r="D93" s="5"/>
      <c r="E93" s="5"/>
      <c r="F93" s="5"/>
      <c r="G93" s="5"/>
      <c r="H93" s="5"/>
      <c r="I93" s="5"/>
    </row>
    <row r="94" spans="2:9" x14ac:dyDescent="0.3">
      <c r="B94" s="4"/>
      <c r="C94" s="5"/>
      <c r="D94" s="5"/>
      <c r="E94" s="5"/>
      <c r="F94" s="5"/>
      <c r="G94" s="5"/>
      <c r="H94" s="5"/>
      <c r="I94" s="5"/>
    </row>
    <row r="95" spans="2:9" x14ac:dyDescent="0.3">
      <c r="B95" s="4"/>
      <c r="C95" s="5"/>
      <c r="D95" s="5"/>
      <c r="E95" s="5"/>
      <c r="F95" s="5"/>
      <c r="G95" s="5"/>
      <c r="H95" s="5"/>
      <c r="I95" s="5"/>
    </row>
    <row r="96" spans="2:9" x14ac:dyDescent="0.3">
      <c r="B96" s="4"/>
      <c r="C96" s="5"/>
      <c r="D96" s="5"/>
      <c r="E96" s="5"/>
      <c r="F96" s="5"/>
      <c r="G96" s="5"/>
      <c r="H96" s="5"/>
      <c r="I96" s="5"/>
    </row>
    <row r="97" spans="2:9" x14ac:dyDescent="0.3">
      <c r="B97" s="4"/>
      <c r="C97" s="5"/>
      <c r="D97" s="5"/>
      <c r="E97" s="5"/>
      <c r="F97" s="5"/>
      <c r="G97" s="5"/>
      <c r="H97" s="5"/>
      <c r="I97" s="5"/>
    </row>
    <row r="98" spans="2:9" x14ac:dyDescent="0.3">
      <c r="B98" s="4"/>
      <c r="C98" s="5"/>
      <c r="D98" s="5"/>
      <c r="E98" s="5"/>
      <c r="F98" s="5"/>
      <c r="G98" s="5"/>
      <c r="H98" s="5"/>
      <c r="I98" s="5"/>
    </row>
    <row r="99" spans="2:9" x14ac:dyDescent="0.3">
      <c r="B99" s="4"/>
      <c r="C99" s="5"/>
      <c r="D99" s="5"/>
      <c r="E99" s="5"/>
      <c r="F99" s="5"/>
      <c r="G99" s="5"/>
      <c r="H99" s="5"/>
      <c r="I99" s="5"/>
    </row>
    <row r="100" spans="2:9" x14ac:dyDescent="0.3">
      <c r="B100" s="4"/>
      <c r="C100" s="5"/>
      <c r="D100" s="5"/>
      <c r="E100" s="5"/>
      <c r="F100" s="5"/>
      <c r="G100" s="5"/>
      <c r="H100" s="5"/>
      <c r="I100" s="5"/>
    </row>
    <row r="101" spans="2:9" x14ac:dyDescent="0.3">
      <c r="B101" s="4"/>
      <c r="C101" s="5"/>
      <c r="D101" s="5"/>
      <c r="E101" s="5"/>
      <c r="F101" s="5"/>
      <c r="G101" s="5"/>
      <c r="H101" s="5"/>
      <c r="I101" s="5"/>
    </row>
    <row r="102" spans="2:9" x14ac:dyDescent="0.3">
      <c r="B102" s="4"/>
      <c r="C102" s="5"/>
      <c r="D102" s="5"/>
      <c r="E102" s="5"/>
      <c r="F102" s="5"/>
      <c r="G102" s="5"/>
      <c r="H102" s="5"/>
      <c r="I102" s="5"/>
    </row>
    <row r="103" spans="2:9" x14ac:dyDescent="0.3">
      <c r="B103" s="4"/>
      <c r="C103" s="5"/>
      <c r="D103" s="5"/>
      <c r="E103" s="5"/>
      <c r="F103" s="5"/>
      <c r="G103" s="5"/>
      <c r="H103" s="5"/>
      <c r="I103" s="5"/>
    </row>
    <row r="104" spans="2:9" x14ac:dyDescent="0.3">
      <c r="B104" s="4"/>
      <c r="C104" s="5"/>
      <c r="D104" s="5"/>
      <c r="E104" s="5"/>
      <c r="F104" s="5"/>
      <c r="G104" s="5"/>
      <c r="H104" s="5"/>
      <c r="I104" s="5"/>
    </row>
    <row r="105" spans="2:9" x14ac:dyDescent="0.3">
      <c r="B105" s="4"/>
      <c r="C105" s="5"/>
      <c r="D105" s="5"/>
      <c r="E105" s="5"/>
      <c r="F105" s="5"/>
      <c r="G105" s="5"/>
      <c r="H105" s="5"/>
      <c r="I105" s="5"/>
    </row>
    <row r="106" spans="2:9" x14ac:dyDescent="0.3">
      <c r="B106" s="4"/>
      <c r="C106" s="5"/>
      <c r="D106" s="5"/>
      <c r="E106" s="5"/>
      <c r="F106" s="5"/>
      <c r="G106" s="5"/>
      <c r="H106" s="5"/>
      <c r="I106" s="5"/>
    </row>
    <row r="107" spans="2:9" x14ac:dyDescent="0.3">
      <c r="B107" s="4"/>
      <c r="C107" s="5"/>
      <c r="D107" s="5"/>
      <c r="E107" s="5"/>
      <c r="F107" s="5"/>
      <c r="G107" s="5"/>
      <c r="H107" s="5"/>
      <c r="I107" s="5"/>
    </row>
    <row r="108" spans="2:9" x14ac:dyDescent="0.3">
      <c r="B108" s="4"/>
      <c r="C108" s="5"/>
      <c r="D108" s="5"/>
      <c r="E108" s="5"/>
      <c r="F108" s="5"/>
      <c r="G108" s="5"/>
      <c r="H108" s="5"/>
      <c r="I108" s="5"/>
    </row>
    <row r="109" spans="2:9" x14ac:dyDescent="0.3">
      <c r="B109" s="4"/>
      <c r="C109" s="5"/>
      <c r="D109" s="5"/>
      <c r="E109" s="5"/>
      <c r="F109" s="5"/>
      <c r="G109" s="5"/>
      <c r="H109" s="5"/>
      <c r="I109" s="5"/>
    </row>
    <row r="110" spans="2:9" x14ac:dyDescent="0.3">
      <c r="B110" s="4"/>
      <c r="C110" s="5"/>
      <c r="D110" s="5"/>
      <c r="E110" s="5"/>
      <c r="F110" s="5"/>
      <c r="G110" s="5"/>
      <c r="H110" s="5"/>
      <c r="I110" s="5"/>
    </row>
    <row r="111" spans="2:9" x14ac:dyDescent="0.3">
      <c r="B111" s="4"/>
      <c r="C111" s="5"/>
      <c r="D111" s="5"/>
      <c r="E111" s="5"/>
      <c r="F111" s="5"/>
      <c r="G111" s="5"/>
      <c r="H111" s="5"/>
      <c r="I111" s="5"/>
    </row>
    <row r="112" spans="2:9" x14ac:dyDescent="0.3">
      <c r="B112" s="4"/>
      <c r="C112" s="5"/>
      <c r="D112" s="5"/>
      <c r="E112" s="5"/>
      <c r="F112" s="5"/>
      <c r="G112" s="5"/>
      <c r="H112" s="5"/>
      <c r="I112" s="5"/>
    </row>
    <row r="113" spans="2:9" x14ac:dyDescent="0.3">
      <c r="B113" s="4"/>
      <c r="C113" s="5"/>
      <c r="D113" s="5"/>
      <c r="E113" s="5"/>
      <c r="F113" s="5"/>
      <c r="G113" s="5"/>
      <c r="H113" s="5"/>
      <c r="I113" s="5"/>
    </row>
    <row r="114" spans="2:9" x14ac:dyDescent="0.3">
      <c r="B114" s="4"/>
      <c r="C114" s="5"/>
      <c r="D114" s="5"/>
      <c r="E114" s="5"/>
      <c r="F114" s="5"/>
      <c r="G114" s="5"/>
      <c r="H114" s="5"/>
      <c r="I114" s="5"/>
    </row>
    <row r="115" spans="2:9" x14ac:dyDescent="0.3">
      <c r="B115" s="4"/>
      <c r="C115" s="5"/>
      <c r="D115" s="5"/>
      <c r="E115" s="5"/>
      <c r="F115" s="5"/>
      <c r="G115" s="5"/>
      <c r="H115" s="5"/>
      <c r="I115" s="5"/>
    </row>
    <row r="116" spans="2:9" x14ac:dyDescent="0.3">
      <c r="B116" s="4"/>
      <c r="C116" s="5"/>
      <c r="D116" s="5"/>
      <c r="E116" s="5"/>
      <c r="F116" s="5"/>
      <c r="G116" s="5"/>
      <c r="H116" s="5"/>
      <c r="I116" s="5"/>
    </row>
    <row r="117" spans="2:9" x14ac:dyDescent="0.3">
      <c r="B117" s="4"/>
      <c r="C117" s="5"/>
      <c r="D117" s="5"/>
      <c r="E117" s="5"/>
      <c r="F117" s="5"/>
      <c r="G117" s="5"/>
      <c r="H117" s="5"/>
      <c r="I117" s="5"/>
    </row>
    <row r="118" spans="2:9" x14ac:dyDescent="0.3">
      <c r="B118" s="4"/>
      <c r="C118" s="5"/>
      <c r="D118" s="5"/>
      <c r="E118" s="5"/>
      <c r="F118" s="5"/>
      <c r="G118" s="5"/>
      <c r="H118" s="5"/>
      <c r="I118" s="5"/>
    </row>
    <row r="119" spans="2:9" x14ac:dyDescent="0.3">
      <c r="B119" s="4"/>
      <c r="C119" s="5"/>
      <c r="D119" s="5"/>
      <c r="E119" s="5"/>
      <c r="F119" s="5"/>
      <c r="G119" s="5"/>
      <c r="H119" s="5"/>
      <c r="I119" s="5"/>
    </row>
    <row r="120" spans="2:9" x14ac:dyDescent="0.3">
      <c r="B120" s="4"/>
      <c r="C120" s="5"/>
      <c r="D120" s="5"/>
      <c r="E120" s="5"/>
      <c r="F120" s="5"/>
      <c r="G120" s="5"/>
      <c r="H120" s="5"/>
      <c r="I120" s="5"/>
    </row>
    <row r="121" spans="2:9" x14ac:dyDescent="0.3">
      <c r="B121" s="4"/>
      <c r="C121" s="5"/>
      <c r="D121" s="5"/>
      <c r="E121" s="5"/>
      <c r="F121" s="5"/>
      <c r="G121" s="5"/>
      <c r="H121" s="5"/>
      <c r="I121" s="5"/>
    </row>
    <row r="122" spans="2:9" x14ac:dyDescent="0.3">
      <c r="B122" s="4"/>
      <c r="C122" s="5"/>
      <c r="D122" s="5"/>
      <c r="E122" s="5"/>
      <c r="F122" s="5"/>
      <c r="G122" s="5"/>
      <c r="H122" s="5"/>
      <c r="I122" s="5"/>
    </row>
    <row r="123" spans="2:9" x14ac:dyDescent="0.3">
      <c r="B123" s="4"/>
      <c r="C123" s="5"/>
      <c r="D123" s="5"/>
      <c r="E123" s="5"/>
      <c r="F123" s="5"/>
      <c r="G123" s="5"/>
      <c r="H123" s="5"/>
      <c r="I123" s="5"/>
    </row>
    <row r="124" spans="2:9" x14ac:dyDescent="0.3">
      <c r="B124" s="4"/>
      <c r="C124" s="5"/>
      <c r="D124" s="5"/>
      <c r="E124" s="5"/>
      <c r="F124" s="5"/>
      <c r="G124" s="5"/>
      <c r="H124" s="5"/>
      <c r="I124" s="5"/>
    </row>
    <row r="125" spans="2:9" x14ac:dyDescent="0.3">
      <c r="B125" s="4"/>
      <c r="C125" s="5"/>
      <c r="D125" s="5"/>
      <c r="E125" s="5"/>
      <c r="F125" s="5"/>
      <c r="G125" s="5"/>
      <c r="H125" s="5"/>
      <c r="I125" s="5"/>
    </row>
    <row r="126" spans="2:9" x14ac:dyDescent="0.3">
      <c r="B126" s="4"/>
      <c r="C126" s="5"/>
      <c r="D126" s="5"/>
      <c r="E126" s="5"/>
      <c r="F126" s="5"/>
      <c r="G126" s="5"/>
      <c r="H126" s="5"/>
      <c r="I126" s="5"/>
    </row>
    <row r="127" spans="2:9" x14ac:dyDescent="0.3">
      <c r="B127" s="4"/>
      <c r="C127" s="5"/>
      <c r="D127" s="5"/>
      <c r="E127" s="5"/>
      <c r="F127" s="5"/>
      <c r="G127" s="5"/>
      <c r="H127" s="5"/>
      <c r="I127" s="5"/>
    </row>
    <row r="128" spans="2:9" x14ac:dyDescent="0.3">
      <c r="B128" s="4"/>
      <c r="C128" s="5"/>
      <c r="D128" s="5"/>
      <c r="E128" s="5"/>
      <c r="F128" s="5"/>
      <c r="G128" s="5"/>
      <c r="H128" s="5"/>
      <c r="I128" s="5"/>
    </row>
    <row r="129" spans="2:9" x14ac:dyDescent="0.3">
      <c r="B129" s="4"/>
      <c r="C129" s="5"/>
      <c r="D129" s="5"/>
      <c r="E129" s="5"/>
      <c r="F129" s="5"/>
      <c r="G129" s="5"/>
      <c r="H129" s="5"/>
      <c r="I129" s="5"/>
    </row>
    <row r="130" spans="2:9" x14ac:dyDescent="0.3">
      <c r="B130" s="4"/>
      <c r="C130" s="5"/>
      <c r="D130" s="5"/>
      <c r="E130" s="5"/>
      <c r="F130" s="5"/>
      <c r="G130" s="5"/>
      <c r="H130" s="5"/>
      <c r="I130" s="5"/>
    </row>
    <row r="131" spans="2:9" x14ac:dyDescent="0.3">
      <c r="B131" s="4"/>
      <c r="C131" s="5"/>
      <c r="D131" s="5"/>
      <c r="E131" s="5"/>
      <c r="F131" s="5"/>
      <c r="G131" s="5"/>
      <c r="H131" s="5"/>
      <c r="I131" s="5"/>
    </row>
    <row r="132" spans="2:9" x14ac:dyDescent="0.3">
      <c r="B132" s="4"/>
      <c r="C132" s="5"/>
      <c r="D132" s="5"/>
      <c r="E132" s="5"/>
      <c r="F132" s="5"/>
      <c r="G132" s="5"/>
      <c r="H132" s="5"/>
      <c r="I132" s="5"/>
    </row>
    <row r="133" spans="2:9" x14ac:dyDescent="0.3">
      <c r="B133" s="4"/>
      <c r="C133" s="5"/>
      <c r="D133" s="5"/>
      <c r="E133" s="5"/>
      <c r="F133" s="5"/>
      <c r="G133" s="5"/>
      <c r="H133" s="5"/>
      <c r="I133" s="5"/>
    </row>
    <row r="134" spans="2:9" x14ac:dyDescent="0.3">
      <c r="B134" s="4"/>
      <c r="C134" s="5"/>
      <c r="D134" s="5"/>
      <c r="E134" s="5"/>
      <c r="F134" s="5"/>
      <c r="G134" s="5"/>
      <c r="H134" s="5"/>
      <c r="I134" s="5"/>
    </row>
    <row r="135" spans="2:9" x14ac:dyDescent="0.3">
      <c r="B135" s="4"/>
      <c r="C135" s="5"/>
      <c r="D135" s="5"/>
      <c r="E135" s="5"/>
      <c r="F135" s="5"/>
      <c r="G135" s="5"/>
      <c r="H135" s="5"/>
      <c r="I135" s="5"/>
    </row>
    <row r="136" spans="2:9" x14ac:dyDescent="0.3">
      <c r="B136" s="4"/>
      <c r="C136" s="5"/>
      <c r="D136" s="5"/>
      <c r="E136" s="5"/>
      <c r="F136" s="5"/>
      <c r="G136" s="5"/>
      <c r="H136" s="5"/>
      <c r="I136" s="5"/>
    </row>
    <row r="137" spans="2:9" x14ac:dyDescent="0.3">
      <c r="B137" s="4"/>
      <c r="C137" s="5"/>
      <c r="D137" s="5"/>
      <c r="E137" s="5"/>
      <c r="F137" s="5"/>
      <c r="G137" s="5"/>
      <c r="H137" s="5"/>
      <c r="I137" s="5"/>
    </row>
    <row r="138" spans="2:9" x14ac:dyDescent="0.3">
      <c r="B138" s="4"/>
      <c r="C138" s="5"/>
      <c r="D138" s="5"/>
      <c r="E138" s="5"/>
      <c r="F138" s="5"/>
      <c r="G138" s="5"/>
      <c r="H138" s="5"/>
      <c r="I138" s="5"/>
    </row>
    <row r="139" spans="2:9" x14ac:dyDescent="0.3">
      <c r="B139" s="4"/>
      <c r="C139" s="5"/>
      <c r="D139" s="5"/>
      <c r="E139" s="5"/>
      <c r="F139" s="5"/>
      <c r="G139" s="5"/>
      <c r="H139" s="5"/>
      <c r="I139" s="5"/>
    </row>
    <row r="140" spans="2:9" x14ac:dyDescent="0.3">
      <c r="B140" s="4"/>
      <c r="C140" s="5"/>
      <c r="D140" s="5"/>
      <c r="E140" s="5"/>
      <c r="F140" s="5"/>
      <c r="G140" s="5"/>
      <c r="H140" s="5"/>
      <c r="I140" s="5"/>
    </row>
    <row r="141" spans="2:9" x14ac:dyDescent="0.3">
      <c r="B141" s="4"/>
      <c r="C141" s="5"/>
      <c r="D141" s="5"/>
      <c r="E141" s="5"/>
      <c r="F141" s="5"/>
      <c r="G141" s="5"/>
      <c r="H141" s="5"/>
      <c r="I141" s="5"/>
    </row>
    <row r="142" spans="2:9" x14ac:dyDescent="0.3">
      <c r="B142" s="4"/>
      <c r="C142" s="5"/>
      <c r="D142" s="5"/>
      <c r="E142" s="5"/>
      <c r="F142" s="5"/>
      <c r="G142" s="5"/>
      <c r="H142" s="5"/>
      <c r="I142" s="5"/>
    </row>
    <row r="143" spans="2:9" x14ac:dyDescent="0.3">
      <c r="B143" s="4"/>
      <c r="C143" s="5"/>
      <c r="D143" s="5"/>
      <c r="E143" s="5"/>
      <c r="F143" s="5"/>
      <c r="G143" s="5"/>
      <c r="H143" s="5"/>
      <c r="I143" s="5"/>
    </row>
    <row r="144" spans="2:9" x14ac:dyDescent="0.3">
      <c r="B144" s="4"/>
      <c r="C144" s="5"/>
      <c r="D144" s="5"/>
      <c r="E144" s="5"/>
      <c r="F144" s="5"/>
      <c r="G144" s="5"/>
      <c r="H144" s="5"/>
      <c r="I144" s="5"/>
    </row>
    <row r="145" spans="2:9" x14ac:dyDescent="0.3">
      <c r="B145" s="4"/>
      <c r="C145" s="5"/>
      <c r="D145" s="5"/>
      <c r="E145" s="5"/>
      <c r="F145" s="5"/>
      <c r="G145" s="5"/>
      <c r="H145" s="5"/>
      <c r="I145" s="5"/>
    </row>
    <row r="146" spans="2:9" x14ac:dyDescent="0.3">
      <c r="B146" s="4"/>
      <c r="C146" s="5"/>
      <c r="D146" s="5"/>
      <c r="E146" s="5"/>
      <c r="F146" s="5"/>
      <c r="G146" s="5"/>
      <c r="H146" s="5"/>
      <c r="I146" s="5"/>
    </row>
    <row r="147" spans="2:9" x14ac:dyDescent="0.3">
      <c r="B147" s="4"/>
      <c r="C147" s="5"/>
      <c r="D147" s="5"/>
      <c r="E147" s="5"/>
      <c r="F147" s="5"/>
      <c r="G147" s="5"/>
      <c r="H147" s="5"/>
      <c r="I147" s="5"/>
    </row>
    <row r="148" spans="2:9" x14ac:dyDescent="0.3">
      <c r="B148" s="4"/>
      <c r="C148" s="5"/>
      <c r="D148" s="5"/>
      <c r="E148" s="5"/>
      <c r="F148" s="5"/>
      <c r="G148" s="5"/>
      <c r="H148" s="5"/>
      <c r="I148" s="5"/>
    </row>
    <row r="149" spans="2:9" x14ac:dyDescent="0.3">
      <c r="B149" s="4"/>
      <c r="C149" s="5"/>
      <c r="D149" s="5"/>
      <c r="E149" s="5"/>
      <c r="F149" s="5"/>
      <c r="G149" s="5"/>
      <c r="H149" s="5"/>
      <c r="I149" s="5"/>
    </row>
    <row r="150" spans="2:9" x14ac:dyDescent="0.3">
      <c r="B150" s="4"/>
      <c r="C150" s="5"/>
      <c r="D150" s="5"/>
      <c r="E150" s="5"/>
      <c r="F150" s="5"/>
      <c r="G150" s="5"/>
      <c r="H150" s="5"/>
      <c r="I150" s="5"/>
    </row>
    <row r="151" spans="2:9" x14ac:dyDescent="0.3">
      <c r="B151" s="4"/>
      <c r="C151" s="5"/>
      <c r="D151" s="5"/>
      <c r="E151" s="5"/>
      <c r="F151" s="5"/>
      <c r="G151" s="5"/>
      <c r="H151" s="5"/>
      <c r="I151" s="5"/>
    </row>
    <row r="152" spans="2:9" x14ac:dyDescent="0.3">
      <c r="B152" s="4"/>
      <c r="C152" s="5"/>
      <c r="D152" s="5"/>
      <c r="E152" s="5"/>
      <c r="F152" s="5"/>
      <c r="G152" s="5"/>
      <c r="H152" s="5"/>
      <c r="I152" s="5"/>
    </row>
    <row r="153" spans="2:9" x14ac:dyDescent="0.3">
      <c r="B153" s="4"/>
      <c r="C153" s="5"/>
      <c r="D153" s="5"/>
      <c r="E153" s="5"/>
      <c r="F153" s="5"/>
      <c r="G153" s="5"/>
      <c r="H153" s="5"/>
      <c r="I153" s="5"/>
    </row>
    <row r="154" spans="2:9" x14ac:dyDescent="0.3">
      <c r="B154" s="4"/>
      <c r="C154" s="5"/>
      <c r="D154" s="5"/>
      <c r="E154" s="5"/>
      <c r="F154" s="5"/>
      <c r="G154" s="5"/>
      <c r="H154" s="5"/>
      <c r="I154" s="5"/>
    </row>
    <row r="155" spans="2:9" x14ac:dyDescent="0.3">
      <c r="B155" s="4"/>
      <c r="C155" s="5"/>
      <c r="D155" s="5"/>
      <c r="E155" s="5"/>
      <c r="F155" s="5"/>
      <c r="G155" s="5"/>
      <c r="H155" s="5"/>
      <c r="I155" s="5"/>
    </row>
    <row r="156" spans="2:9" x14ac:dyDescent="0.3">
      <c r="B156" s="4"/>
      <c r="C156" s="5"/>
      <c r="D156" s="5"/>
      <c r="E156" s="5"/>
      <c r="F156" s="5"/>
      <c r="G156" s="5"/>
      <c r="H156" s="5"/>
      <c r="I156" s="5"/>
    </row>
    <row r="157" spans="2:9" x14ac:dyDescent="0.3">
      <c r="B157" s="4"/>
      <c r="C157" s="5"/>
      <c r="D157" s="5"/>
      <c r="E157" s="5"/>
      <c r="F157" s="5"/>
      <c r="G157" s="5"/>
      <c r="H157" s="5"/>
      <c r="I157" s="5"/>
    </row>
    <row r="158" spans="2:9" x14ac:dyDescent="0.3">
      <c r="B158" s="4"/>
      <c r="C158" s="5"/>
      <c r="D158" s="5"/>
      <c r="E158" s="5"/>
      <c r="F158" s="5"/>
      <c r="G158" s="5"/>
      <c r="H158" s="5"/>
      <c r="I158" s="5"/>
    </row>
    <row r="159" spans="2:9" x14ac:dyDescent="0.3">
      <c r="B159" s="4"/>
      <c r="C159" s="5"/>
      <c r="D159" s="5"/>
      <c r="E159" s="5"/>
      <c r="F159" s="5"/>
      <c r="G159" s="5"/>
      <c r="H159" s="5"/>
      <c r="I159" s="5"/>
    </row>
    <row r="160" spans="2:9" x14ac:dyDescent="0.3">
      <c r="B160" s="4"/>
      <c r="C160" s="5"/>
      <c r="D160" s="5"/>
      <c r="E160" s="5"/>
      <c r="F160" s="5"/>
      <c r="G160" s="5"/>
      <c r="H160" s="5"/>
      <c r="I160" s="5"/>
    </row>
    <row r="161" spans="2:9" x14ac:dyDescent="0.3">
      <c r="B161" s="4"/>
      <c r="C161" s="5"/>
      <c r="D161" s="5"/>
      <c r="E161" s="5"/>
      <c r="F161" s="5"/>
      <c r="G161" s="5"/>
      <c r="H161" s="5"/>
      <c r="I161" s="5"/>
    </row>
    <row r="162" spans="2:9" x14ac:dyDescent="0.3">
      <c r="B162" s="4"/>
      <c r="C162" s="5"/>
      <c r="D162" s="5"/>
      <c r="E162" s="5"/>
      <c r="F162" s="5"/>
      <c r="G162" s="5"/>
      <c r="H162" s="5"/>
      <c r="I162" s="5"/>
    </row>
    <row r="163" spans="2:9" x14ac:dyDescent="0.3">
      <c r="B163" s="4"/>
      <c r="C163" s="5"/>
      <c r="D163" s="5"/>
      <c r="E163" s="5"/>
      <c r="F163" s="5"/>
      <c r="G163" s="5"/>
      <c r="H163" s="5"/>
      <c r="I163" s="5"/>
    </row>
    <row r="164" spans="2:9" x14ac:dyDescent="0.3">
      <c r="B164" s="4"/>
      <c r="C164" s="5"/>
      <c r="D164" s="5"/>
      <c r="E164" s="5"/>
      <c r="F164" s="5"/>
      <c r="G164" s="5"/>
      <c r="H164" s="5"/>
      <c r="I164" s="5"/>
    </row>
    <row r="165" spans="2:9" x14ac:dyDescent="0.3">
      <c r="B165" s="4"/>
      <c r="C165" s="5"/>
      <c r="D165" s="5"/>
      <c r="E165" s="5"/>
      <c r="F165" s="5"/>
      <c r="G165" s="5"/>
      <c r="H165" s="5"/>
      <c r="I165" s="5"/>
    </row>
    <row r="166" spans="2:9" x14ac:dyDescent="0.3">
      <c r="B166" s="4"/>
      <c r="C166" s="5"/>
      <c r="D166" s="5"/>
      <c r="E166" s="5"/>
      <c r="F166" s="5"/>
      <c r="G166" s="5"/>
      <c r="H166" s="5"/>
      <c r="I166" s="5"/>
    </row>
    <row r="167" spans="2:9" x14ac:dyDescent="0.3">
      <c r="B167" s="4"/>
      <c r="C167" s="5"/>
      <c r="D167" s="5"/>
      <c r="E167" s="5"/>
      <c r="F167" s="5"/>
      <c r="G167" s="5"/>
      <c r="H167" s="5"/>
      <c r="I167" s="5"/>
    </row>
    <row r="168" spans="2:9" x14ac:dyDescent="0.3">
      <c r="B168" s="4"/>
      <c r="C168" s="5"/>
      <c r="D168" s="5"/>
      <c r="E168" s="5"/>
      <c r="F168" s="5"/>
      <c r="G168" s="5"/>
      <c r="H168" s="5"/>
      <c r="I168" s="5"/>
    </row>
    <row r="169" spans="2:9" x14ac:dyDescent="0.3">
      <c r="B169" s="4"/>
      <c r="C169" s="5"/>
      <c r="D169" s="5"/>
      <c r="E169" s="5"/>
      <c r="F169" s="5"/>
      <c r="G169" s="5"/>
      <c r="H169" s="5"/>
      <c r="I169" s="5"/>
    </row>
    <row r="170" spans="2:9" x14ac:dyDescent="0.3">
      <c r="B170" s="4"/>
      <c r="C170" s="5"/>
      <c r="D170" s="5"/>
      <c r="E170" s="5"/>
      <c r="F170" s="5"/>
      <c r="G170" s="5"/>
      <c r="H170" s="5"/>
      <c r="I170" s="5"/>
    </row>
    <row r="171" spans="2:9" x14ac:dyDescent="0.3">
      <c r="B171" s="4"/>
      <c r="C171" s="5"/>
      <c r="D171" s="5"/>
      <c r="E171" s="5"/>
      <c r="F171" s="5"/>
      <c r="G171" s="5"/>
      <c r="H171" s="5"/>
      <c r="I171" s="5"/>
    </row>
    <row r="172" spans="2:9" x14ac:dyDescent="0.3">
      <c r="B172" s="4"/>
      <c r="C172" s="5"/>
      <c r="D172" s="5"/>
      <c r="E172" s="5"/>
      <c r="F172" s="5"/>
      <c r="G172" s="5"/>
      <c r="H172" s="5"/>
      <c r="I172" s="5"/>
    </row>
    <row r="173" spans="2:9" x14ac:dyDescent="0.3">
      <c r="B173" s="4"/>
      <c r="C173" s="5"/>
      <c r="D173" s="5"/>
      <c r="E173" s="5"/>
      <c r="F173" s="5"/>
      <c r="G173" s="5"/>
      <c r="H173" s="5"/>
      <c r="I173" s="5"/>
    </row>
    <row r="174" spans="2:9" x14ac:dyDescent="0.3">
      <c r="B174" s="4"/>
      <c r="C174" s="5"/>
      <c r="D174" s="5"/>
      <c r="E174" s="5"/>
      <c r="F174" s="5"/>
      <c r="G174" s="5"/>
      <c r="H174" s="5"/>
      <c r="I174" s="5"/>
    </row>
    <row r="175" spans="2:9" x14ac:dyDescent="0.3">
      <c r="B175" s="4"/>
      <c r="C175" s="5"/>
      <c r="D175" s="5"/>
      <c r="E175" s="5"/>
      <c r="F175" s="5"/>
      <c r="G175" s="5"/>
      <c r="H175" s="5"/>
      <c r="I175" s="5"/>
    </row>
    <row r="176" spans="2:9" x14ac:dyDescent="0.3">
      <c r="B176" s="4"/>
      <c r="C176" s="5"/>
      <c r="D176" s="5"/>
      <c r="E176" s="5"/>
      <c r="F176" s="5"/>
      <c r="G176" s="5"/>
      <c r="H176" s="5"/>
      <c r="I176" s="5"/>
    </row>
    <row r="177" spans="2:9" x14ac:dyDescent="0.3">
      <c r="B177" s="4"/>
      <c r="C177" s="5"/>
      <c r="D177" s="5"/>
      <c r="E177" s="5"/>
      <c r="F177" s="5"/>
      <c r="G177" s="5"/>
      <c r="H177" s="5"/>
      <c r="I177" s="5"/>
    </row>
    <row r="178" spans="2:9" x14ac:dyDescent="0.3">
      <c r="B178" s="4"/>
      <c r="C178" s="5"/>
      <c r="D178" s="5"/>
      <c r="E178" s="5"/>
      <c r="F178" s="5"/>
      <c r="G178" s="5"/>
      <c r="H178" s="5"/>
      <c r="I178" s="5"/>
    </row>
    <row r="179" spans="2:9" x14ac:dyDescent="0.3">
      <c r="B179" s="4"/>
      <c r="C179" s="5"/>
      <c r="D179" s="5"/>
      <c r="E179" s="5"/>
      <c r="F179" s="5"/>
      <c r="G179" s="5"/>
      <c r="H179" s="5"/>
      <c r="I179" s="5"/>
    </row>
    <row r="180" spans="2:9" x14ac:dyDescent="0.3">
      <c r="B180" s="4"/>
      <c r="C180" s="5"/>
      <c r="D180" s="5"/>
      <c r="E180" s="5"/>
      <c r="F180" s="5"/>
      <c r="G180" s="5"/>
      <c r="H180" s="5"/>
      <c r="I180" s="5"/>
    </row>
    <row r="181" spans="2:9" x14ac:dyDescent="0.3">
      <c r="B181" s="4"/>
      <c r="C181" s="5"/>
      <c r="D181" s="5"/>
      <c r="E181" s="5"/>
      <c r="F181" s="5"/>
      <c r="G181" s="5"/>
      <c r="H181" s="5"/>
      <c r="I181" s="5"/>
    </row>
    <row r="182" spans="2:9" x14ac:dyDescent="0.3">
      <c r="B182" s="4"/>
      <c r="C182" s="5"/>
      <c r="D182" s="5"/>
      <c r="E182" s="5"/>
      <c r="F182" s="5"/>
      <c r="G182" s="5"/>
      <c r="H182" s="5"/>
      <c r="I182" s="5"/>
    </row>
    <row r="183" spans="2:9" x14ac:dyDescent="0.3">
      <c r="B183" s="4"/>
      <c r="C183" s="5"/>
      <c r="D183" s="5"/>
      <c r="E183" s="5"/>
      <c r="F183" s="5"/>
      <c r="G183" s="5"/>
      <c r="H183" s="5"/>
      <c r="I183" s="5"/>
    </row>
    <row r="184" spans="2:9" x14ac:dyDescent="0.3">
      <c r="B184" s="4"/>
      <c r="C184" s="5"/>
      <c r="D184" s="5"/>
      <c r="E184" s="5"/>
      <c r="F184" s="5"/>
      <c r="G184" s="5"/>
      <c r="H184" s="5"/>
      <c r="I184" s="5"/>
    </row>
    <row r="185" spans="2:9" x14ac:dyDescent="0.3">
      <c r="B185" s="4"/>
      <c r="C185" s="5"/>
      <c r="D185" s="5"/>
      <c r="E185" s="5"/>
      <c r="F185" s="5"/>
      <c r="G185" s="5"/>
      <c r="H185" s="5"/>
      <c r="I185" s="5"/>
    </row>
    <row r="186" spans="2:9" x14ac:dyDescent="0.3">
      <c r="B186" s="4"/>
      <c r="C186" s="5"/>
      <c r="D186" s="5"/>
      <c r="E186" s="5"/>
      <c r="F186" s="5"/>
      <c r="G186" s="5"/>
      <c r="H186" s="5"/>
      <c r="I186" s="5"/>
    </row>
    <row r="187" spans="2:9" x14ac:dyDescent="0.3">
      <c r="B187" s="4"/>
      <c r="C187" s="5"/>
      <c r="D187" s="5"/>
      <c r="E187" s="5"/>
      <c r="F187" s="5"/>
      <c r="G187" s="5"/>
      <c r="H187" s="5"/>
      <c r="I187" s="5"/>
    </row>
    <row r="188" spans="2:9" x14ac:dyDescent="0.3">
      <c r="B188" s="4"/>
      <c r="C188" s="5"/>
      <c r="D188" s="5"/>
      <c r="E188" s="5"/>
      <c r="F188" s="5"/>
      <c r="G188" s="5"/>
      <c r="H188" s="5"/>
      <c r="I188" s="5"/>
    </row>
    <row r="189" spans="2:9" x14ac:dyDescent="0.3">
      <c r="B189" s="4"/>
      <c r="C189" s="5"/>
      <c r="D189" s="5"/>
      <c r="E189" s="5"/>
      <c r="F189" s="5"/>
      <c r="G189" s="5"/>
      <c r="H189" s="5"/>
      <c r="I189" s="5"/>
    </row>
    <row r="190" spans="2:9" x14ac:dyDescent="0.3">
      <c r="B190" s="4"/>
      <c r="C190" s="5"/>
      <c r="D190" s="5"/>
      <c r="E190" s="5"/>
      <c r="F190" s="5"/>
      <c r="G190" s="5"/>
      <c r="H190" s="5"/>
      <c r="I190" s="5"/>
    </row>
    <row r="191" spans="2:9" x14ac:dyDescent="0.3">
      <c r="B191" s="4"/>
      <c r="C191" s="5"/>
      <c r="D191" s="5"/>
      <c r="E191" s="5"/>
      <c r="F191" s="5"/>
      <c r="G191" s="5"/>
      <c r="H191" s="5"/>
      <c r="I191" s="5"/>
    </row>
    <row r="192" spans="2:9" x14ac:dyDescent="0.3">
      <c r="B192" s="4"/>
      <c r="C192" s="5"/>
      <c r="D192" s="5"/>
      <c r="E192" s="5"/>
      <c r="F192" s="5"/>
      <c r="G192" s="5"/>
      <c r="H192" s="5"/>
      <c r="I192" s="5"/>
    </row>
    <row r="193" spans="2:9" x14ac:dyDescent="0.3">
      <c r="B193" s="4"/>
      <c r="C193" s="5"/>
      <c r="D193" s="5"/>
      <c r="E193" s="5"/>
      <c r="F193" s="5"/>
      <c r="G193" s="5"/>
      <c r="H193" s="5"/>
      <c r="I193" s="5"/>
    </row>
    <row r="194" spans="2:9" x14ac:dyDescent="0.3">
      <c r="B194" s="4"/>
      <c r="C194" s="5"/>
      <c r="D194" s="5"/>
      <c r="E194" s="5"/>
      <c r="F194" s="5"/>
      <c r="G194" s="5"/>
      <c r="H194" s="5"/>
      <c r="I194" s="5"/>
    </row>
    <row r="195" spans="2:9" x14ac:dyDescent="0.3">
      <c r="B195" s="4"/>
      <c r="C195" s="5"/>
      <c r="D195" s="5"/>
      <c r="E195" s="5"/>
      <c r="F195" s="5"/>
      <c r="G195" s="5"/>
      <c r="H195" s="5"/>
      <c r="I195" s="5"/>
    </row>
    <row r="196" spans="2:9" x14ac:dyDescent="0.3">
      <c r="B196" s="4"/>
      <c r="C196" s="5"/>
      <c r="D196" s="5"/>
      <c r="E196" s="5"/>
      <c r="F196" s="5"/>
      <c r="G196" s="5"/>
      <c r="H196" s="5"/>
      <c r="I196" s="5"/>
    </row>
    <row r="197" spans="2:9" x14ac:dyDescent="0.3">
      <c r="B197" s="4"/>
      <c r="C197" s="5"/>
      <c r="D197" s="5"/>
      <c r="E197" s="5"/>
      <c r="F197" s="5"/>
      <c r="G197" s="5"/>
      <c r="H197" s="5"/>
      <c r="I197" s="5"/>
    </row>
    <row r="198" spans="2:9" x14ac:dyDescent="0.3">
      <c r="B198" s="4"/>
      <c r="C198" s="5"/>
      <c r="D198" s="5"/>
      <c r="E198" s="5"/>
      <c r="F198" s="5"/>
      <c r="G198" s="5"/>
      <c r="H198" s="5"/>
      <c r="I198" s="5"/>
    </row>
    <row r="199" spans="2:9" x14ac:dyDescent="0.3">
      <c r="B199" s="4"/>
      <c r="C199" s="5"/>
      <c r="D199" s="5"/>
      <c r="E199" s="5"/>
      <c r="F199" s="5"/>
      <c r="G199" s="5"/>
      <c r="H199" s="5"/>
      <c r="I199" s="5"/>
    </row>
    <row r="200" spans="2:9" x14ac:dyDescent="0.3">
      <c r="B200" s="4"/>
      <c r="C200" s="5"/>
      <c r="D200" s="5"/>
      <c r="E200" s="5"/>
      <c r="F200" s="5"/>
      <c r="G200" s="5"/>
      <c r="H200" s="5"/>
      <c r="I200" s="5"/>
    </row>
    <row r="201" spans="2:9" x14ac:dyDescent="0.3">
      <c r="B201" s="4"/>
      <c r="C201" s="5"/>
      <c r="D201" s="5"/>
      <c r="E201" s="5"/>
      <c r="F201" s="5"/>
      <c r="G201" s="5"/>
      <c r="H201" s="5"/>
      <c r="I201" s="5"/>
    </row>
    <row r="202" spans="2:9" x14ac:dyDescent="0.3">
      <c r="B202" s="4"/>
      <c r="C202" s="5"/>
      <c r="D202" s="5"/>
      <c r="E202" s="5"/>
      <c r="F202" s="5"/>
      <c r="G202" s="5"/>
      <c r="H202" s="5"/>
      <c r="I202" s="5"/>
    </row>
    <row r="203" spans="2:9" x14ac:dyDescent="0.3">
      <c r="B203" s="4"/>
      <c r="C203" s="5"/>
      <c r="D203" s="5"/>
      <c r="E203" s="5"/>
      <c r="F203" s="5"/>
      <c r="G203" s="5"/>
      <c r="H203" s="5"/>
      <c r="I203" s="5"/>
    </row>
    <row r="204" spans="2:9" x14ac:dyDescent="0.3">
      <c r="B204" s="4"/>
      <c r="C204" s="5"/>
      <c r="D204" s="5"/>
      <c r="E204" s="5"/>
      <c r="F204" s="5"/>
      <c r="G204" s="5"/>
      <c r="H204" s="5"/>
      <c r="I204" s="5"/>
    </row>
    <row r="205" spans="2:9" x14ac:dyDescent="0.3">
      <c r="B205" s="4"/>
      <c r="C205" s="5"/>
      <c r="D205" s="5"/>
      <c r="E205" s="5"/>
      <c r="F205" s="5"/>
      <c r="G205" s="5"/>
      <c r="H205" s="5"/>
      <c r="I205" s="5"/>
    </row>
    <row r="206" spans="2:9" x14ac:dyDescent="0.3">
      <c r="B206" s="4"/>
      <c r="C206" s="5"/>
      <c r="D206" s="5"/>
      <c r="E206" s="5"/>
      <c r="F206" s="5"/>
      <c r="G206" s="5"/>
      <c r="H206" s="5"/>
      <c r="I206" s="5"/>
    </row>
    <row r="207" spans="2:9" x14ac:dyDescent="0.3">
      <c r="B207" s="4"/>
      <c r="C207" s="5"/>
      <c r="D207" s="5"/>
      <c r="E207" s="5"/>
      <c r="F207" s="5"/>
      <c r="G207" s="5"/>
      <c r="H207" s="5"/>
      <c r="I207" s="5"/>
    </row>
    <row r="208" spans="2:9" x14ac:dyDescent="0.3">
      <c r="B208" s="4"/>
      <c r="C208" s="5"/>
      <c r="D208" s="5"/>
      <c r="E208" s="5"/>
      <c r="F208" s="5"/>
      <c r="G208" s="5"/>
      <c r="H208" s="5"/>
      <c r="I208" s="5"/>
    </row>
    <row r="209" spans="2:9" x14ac:dyDescent="0.3">
      <c r="B209" s="4"/>
      <c r="C209" s="5"/>
      <c r="D209" s="5"/>
      <c r="E209" s="5"/>
      <c r="F209" s="5"/>
      <c r="G209" s="5"/>
      <c r="H209" s="5"/>
      <c r="I209" s="5"/>
    </row>
    <row r="210" spans="2:9" x14ac:dyDescent="0.3">
      <c r="B210" s="4"/>
      <c r="C210" s="5"/>
      <c r="D210" s="5"/>
      <c r="E210" s="5"/>
      <c r="F210" s="5"/>
      <c r="G210" s="5"/>
      <c r="H210" s="5"/>
      <c r="I210" s="5"/>
    </row>
    <row r="211" spans="2:9" x14ac:dyDescent="0.3">
      <c r="B211" s="4"/>
      <c r="C211" s="5"/>
      <c r="D211" s="5"/>
      <c r="E211" s="5"/>
      <c r="F211" s="5"/>
      <c r="G211" s="5"/>
      <c r="H211" s="5"/>
      <c r="I211" s="5"/>
    </row>
    <row r="212" spans="2:9" x14ac:dyDescent="0.3">
      <c r="B212" s="4"/>
      <c r="C212" s="5"/>
      <c r="D212" s="5"/>
      <c r="E212" s="5"/>
      <c r="F212" s="5"/>
      <c r="G212" s="5"/>
      <c r="H212" s="5"/>
      <c r="I212" s="5"/>
    </row>
    <row r="213" spans="2:9" x14ac:dyDescent="0.3">
      <c r="B213" s="4"/>
      <c r="C213" s="5"/>
      <c r="D213" s="5"/>
      <c r="E213" s="5"/>
      <c r="F213" s="5"/>
      <c r="G213" s="5"/>
      <c r="H213" s="5"/>
      <c r="I213" s="5"/>
    </row>
    <row r="214" spans="2:9" x14ac:dyDescent="0.3">
      <c r="B214" s="4"/>
      <c r="C214" s="5"/>
      <c r="D214" s="5"/>
      <c r="E214" s="5"/>
      <c r="F214" s="5"/>
      <c r="G214" s="5"/>
      <c r="H214" s="5"/>
      <c r="I214" s="5"/>
    </row>
    <row r="215" spans="2:9" x14ac:dyDescent="0.3">
      <c r="B215" s="4"/>
      <c r="C215" s="5"/>
      <c r="D215" s="5"/>
      <c r="E215" s="5"/>
      <c r="F215" s="5"/>
      <c r="G215" s="5"/>
      <c r="H215" s="5"/>
      <c r="I215" s="5"/>
    </row>
    <row r="216" spans="2:9" x14ac:dyDescent="0.3">
      <c r="B216" s="4"/>
      <c r="C216" s="5"/>
      <c r="D216" s="5"/>
      <c r="E216" s="5"/>
      <c r="F216" s="5"/>
      <c r="G216" s="5"/>
      <c r="H216" s="5"/>
      <c r="I216" s="5"/>
    </row>
    <row r="217" spans="2:9" x14ac:dyDescent="0.3">
      <c r="B217" s="4"/>
      <c r="C217" s="5"/>
      <c r="D217" s="5"/>
      <c r="E217" s="5"/>
      <c r="F217" s="5"/>
      <c r="G217" s="5"/>
      <c r="H217" s="5"/>
      <c r="I217" s="5"/>
    </row>
    <row r="218" spans="2:9" x14ac:dyDescent="0.3">
      <c r="B218" s="4"/>
      <c r="C218" s="5"/>
      <c r="D218" s="5"/>
      <c r="E218" s="5"/>
      <c r="F218" s="5"/>
      <c r="G218" s="5"/>
      <c r="H218" s="5"/>
      <c r="I218" s="5"/>
    </row>
    <row r="219" spans="2:9" x14ac:dyDescent="0.3">
      <c r="B219" s="4"/>
      <c r="C219" s="5"/>
      <c r="D219" s="5"/>
      <c r="E219" s="5"/>
      <c r="F219" s="5"/>
      <c r="G219" s="5"/>
      <c r="H219" s="5"/>
      <c r="I219" s="5"/>
    </row>
    <row r="220" spans="2:9" x14ac:dyDescent="0.3">
      <c r="B220" s="4"/>
      <c r="C220" s="5"/>
      <c r="D220" s="5"/>
      <c r="E220" s="5"/>
      <c r="F220" s="5"/>
      <c r="G220" s="5"/>
      <c r="H220" s="5"/>
      <c r="I220" s="5"/>
    </row>
    <row r="221" spans="2:9" x14ac:dyDescent="0.3">
      <c r="B221" s="4"/>
      <c r="C221" s="5"/>
      <c r="D221" s="5"/>
      <c r="E221" s="5"/>
      <c r="F221" s="5"/>
      <c r="G221" s="5"/>
      <c r="H221" s="5"/>
      <c r="I221" s="5"/>
    </row>
    <row r="222" spans="2:9" x14ac:dyDescent="0.3">
      <c r="B222" s="4"/>
      <c r="C222" s="5"/>
      <c r="D222" s="5"/>
      <c r="E222" s="5"/>
      <c r="F222" s="5"/>
      <c r="G222" s="5"/>
      <c r="H222" s="5"/>
      <c r="I222" s="5"/>
    </row>
    <row r="223" spans="2:9" x14ac:dyDescent="0.3">
      <c r="B223" s="4"/>
      <c r="C223" s="5"/>
      <c r="D223" s="5"/>
      <c r="E223" s="5"/>
      <c r="F223" s="5"/>
      <c r="G223" s="5"/>
      <c r="H223" s="5"/>
      <c r="I223" s="5"/>
    </row>
    <row r="224" spans="2:9" x14ac:dyDescent="0.3">
      <c r="B224" s="4"/>
      <c r="C224" s="5"/>
      <c r="D224" s="5"/>
      <c r="E224" s="5"/>
      <c r="F224" s="5"/>
      <c r="G224" s="5"/>
      <c r="H224" s="5"/>
      <c r="I224" s="5"/>
    </row>
    <row r="225" spans="2:9" x14ac:dyDescent="0.3">
      <c r="B225" s="4"/>
      <c r="C225" s="5"/>
      <c r="D225" s="5"/>
      <c r="E225" s="5"/>
      <c r="F225" s="5"/>
      <c r="G225" s="5"/>
      <c r="H225" s="5"/>
      <c r="I225" s="5"/>
    </row>
    <row r="226" spans="2:9" x14ac:dyDescent="0.3">
      <c r="B226" s="4"/>
      <c r="C226" s="5"/>
      <c r="D226" s="5"/>
      <c r="E226" s="5"/>
      <c r="F226" s="5"/>
      <c r="G226" s="5"/>
      <c r="H226" s="5"/>
      <c r="I226" s="5"/>
    </row>
    <row r="227" spans="2:9" x14ac:dyDescent="0.3">
      <c r="B227" s="4"/>
      <c r="C227" s="5"/>
      <c r="D227" s="5"/>
      <c r="E227" s="5"/>
      <c r="F227" s="5"/>
      <c r="G227" s="5"/>
      <c r="H227" s="5"/>
      <c r="I227" s="5"/>
    </row>
    <row r="228" spans="2:9" x14ac:dyDescent="0.3">
      <c r="B228" s="4"/>
      <c r="C228" s="5"/>
      <c r="D228" s="5"/>
      <c r="E228" s="5"/>
      <c r="F228" s="5"/>
      <c r="G228" s="5"/>
      <c r="H228" s="5"/>
      <c r="I228" s="5"/>
    </row>
    <row r="229" spans="2:9" x14ac:dyDescent="0.3">
      <c r="B229" s="4"/>
      <c r="C229" s="5"/>
      <c r="D229" s="5"/>
      <c r="E229" s="5"/>
      <c r="F229" s="5"/>
      <c r="G229" s="5"/>
      <c r="H229" s="5"/>
      <c r="I229" s="5"/>
    </row>
    <row r="230" spans="2:9" x14ac:dyDescent="0.3">
      <c r="B230" s="4"/>
      <c r="C230" s="5"/>
      <c r="D230" s="5"/>
      <c r="E230" s="5"/>
      <c r="F230" s="5"/>
      <c r="G230" s="5"/>
      <c r="H230" s="5"/>
      <c r="I230" s="5"/>
    </row>
    <row r="231" spans="2:9" x14ac:dyDescent="0.3">
      <c r="B231" s="4"/>
      <c r="C231" s="5"/>
      <c r="D231" s="5"/>
      <c r="E231" s="5"/>
      <c r="F231" s="5"/>
      <c r="G231" s="5"/>
      <c r="H231" s="5"/>
      <c r="I231" s="5"/>
    </row>
    <row r="232" spans="2:9" x14ac:dyDescent="0.3">
      <c r="B232" s="4"/>
      <c r="C232" s="5"/>
      <c r="D232" s="5"/>
      <c r="E232" s="5"/>
      <c r="F232" s="5"/>
      <c r="G232" s="5"/>
      <c r="H232" s="5"/>
      <c r="I232" s="5"/>
    </row>
    <row r="233" spans="2:9" x14ac:dyDescent="0.3">
      <c r="B233" s="4"/>
      <c r="C233" s="5"/>
      <c r="D233" s="5"/>
      <c r="E233" s="5"/>
      <c r="F233" s="5"/>
      <c r="G233" s="5"/>
      <c r="H233" s="5"/>
      <c r="I233" s="5"/>
    </row>
    <row r="234" spans="2:9" x14ac:dyDescent="0.3">
      <c r="B234" s="4"/>
      <c r="C234" s="5"/>
      <c r="D234" s="5"/>
      <c r="E234" s="5"/>
      <c r="F234" s="5"/>
      <c r="G234" s="5"/>
      <c r="H234" s="5"/>
      <c r="I234" s="5"/>
    </row>
    <row r="235" spans="2:9" x14ac:dyDescent="0.3">
      <c r="B235" s="4"/>
      <c r="C235" s="5"/>
      <c r="D235" s="5"/>
      <c r="E235" s="5"/>
      <c r="F235" s="5"/>
      <c r="G235" s="5"/>
      <c r="H235" s="5"/>
      <c r="I235" s="5"/>
    </row>
    <row r="236" spans="2:9" x14ac:dyDescent="0.3">
      <c r="B236" s="4"/>
      <c r="C236" s="5"/>
      <c r="D236" s="5"/>
      <c r="E236" s="5"/>
      <c r="F236" s="5"/>
      <c r="G236" s="5"/>
      <c r="H236" s="5"/>
      <c r="I236" s="5"/>
    </row>
    <row r="237" spans="2:9" x14ac:dyDescent="0.3">
      <c r="B237" s="4"/>
      <c r="C237" s="5"/>
      <c r="D237" s="5"/>
      <c r="E237" s="5"/>
      <c r="F237" s="5"/>
      <c r="G237" s="5"/>
      <c r="H237" s="5"/>
      <c r="I237" s="5"/>
    </row>
    <row r="238" spans="2:9" x14ac:dyDescent="0.3">
      <c r="B238" s="4"/>
      <c r="C238" s="5"/>
      <c r="D238" s="5"/>
      <c r="E238" s="5"/>
      <c r="F238" s="5"/>
      <c r="G238" s="5"/>
      <c r="H238" s="5"/>
      <c r="I238" s="5"/>
    </row>
    <row r="239" spans="2:9" x14ac:dyDescent="0.3">
      <c r="B239" s="4"/>
      <c r="C239" s="5"/>
      <c r="D239" s="5"/>
      <c r="E239" s="5"/>
      <c r="F239" s="5"/>
      <c r="G239" s="5"/>
      <c r="H239" s="5"/>
      <c r="I239" s="5"/>
    </row>
    <row r="240" spans="2:9" x14ac:dyDescent="0.3">
      <c r="B240" s="4"/>
      <c r="C240" s="5"/>
      <c r="D240" s="5"/>
      <c r="E240" s="5"/>
      <c r="F240" s="5"/>
      <c r="G240" s="5"/>
      <c r="H240" s="5"/>
      <c r="I240" s="5"/>
    </row>
    <row r="241" spans="2:9" x14ac:dyDescent="0.3">
      <c r="B241" s="4"/>
      <c r="C241" s="5"/>
      <c r="D241" s="5"/>
      <c r="E241" s="5"/>
      <c r="F241" s="5"/>
      <c r="G241" s="5"/>
      <c r="H241" s="5"/>
      <c r="I241" s="5"/>
    </row>
    <row r="242" spans="2:9" x14ac:dyDescent="0.3">
      <c r="B242" s="4"/>
      <c r="C242" s="5"/>
      <c r="D242" s="5"/>
      <c r="E242" s="5"/>
      <c r="F242" s="5"/>
      <c r="G242" s="5"/>
      <c r="H242" s="5"/>
      <c r="I242" s="5"/>
    </row>
    <row r="243" spans="2:9" x14ac:dyDescent="0.3">
      <c r="B243" s="4"/>
      <c r="C243" s="5"/>
      <c r="D243" s="5"/>
      <c r="E243" s="5"/>
      <c r="F243" s="5"/>
      <c r="G243" s="5"/>
      <c r="H243" s="5"/>
      <c r="I243" s="5"/>
    </row>
    <row r="244" spans="2:9" x14ac:dyDescent="0.3">
      <c r="B244" s="4"/>
      <c r="C244" s="5"/>
      <c r="D244" s="5"/>
      <c r="E244" s="5"/>
      <c r="F244" s="5"/>
      <c r="G244" s="5"/>
      <c r="H244" s="5"/>
      <c r="I244" s="5"/>
    </row>
    <row r="245" spans="2:9" x14ac:dyDescent="0.3">
      <c r="B245" s="4"/>
      <c r="C245" s="5"/>
      <c r="D245" s="5"/>
      <c r="E245" s="5"/>
      <c r="F245" s="5"/>
      <c r="G245" s="5"/>
      <c r="H245" s="5"/>
      <c r="I245" s="5"/>
    </row>
    <row r="246" spans="2:9" x14ac:dyDescent="0.3">
      <c r="B246" s="4"/>
      <c r="C246" s="5"/>
      <c r="D246" s="5"/>
      <c r="E246" s="5"/>
      <c r="F246" s="5"/>
      <c r="G246" s="5"/>
      <c r="H246" s="5"/>
      <c r="I246" s="5"/>
    </row>
    <row r="247" spans="2:9" x14ac:dyDescent="0.3">
      <c r="B247" s="4"/>
      <c r="C247" s="5"/>
      <c r="D247" s="5"/>
      <c r="E247" s="5"/>
      <c r="F247" s="5"/>
      <c r="G247" s="5"/>
      <c r="H247" s="5"/>
      <c r="I247" s="5"/>
    </row>
    <row r="248" spans="2:9" x14ac:dyDescent="0.3">
      <c r="B248" s="4"/>
      <c r="C248" s="5"/>
      <c r="D248" s="5"/>
      <c r="E248" s="5"/>
      <c r="F248" s="5"/>
      <c r="G248" s="5"/>
      <c r="H248" s="5"/>
      <c r="I248" s="5"/>
    </row>
    <row r="249" spans="2:9" x14ac:dyDescent="0.3">
      <c r="B249" s="4"/>
      <c r="C249" s="5"/>
      <c r="D249" s="5"/>
      <c r="E249" s="5"/>
      <c r="F249" s="5"/>
      <c r="G249" s="5"/>
      <c r="H249" s="5"/>
      <c r="I249" s="5"/>
    </row>
    <row r="250" spans="2:9" x14ac:dyDescent="0.3">
      <c r="B250" s="4"/>
      <c r="C250" s="5"/>
      <c r="D250" s="5"/>
      <c r="E250" s="5"/>
      <c r="F250" s="5"/>
      <c r="G250" s="5"/>
      <c r="H250" s="5"/>
      <c r="I250" s="5"/>
    </row>
    <row r="251" spans="2:9" x14ac:dyDescent="0.3">
      <c r="B251" s="4"/>
      <c r="C251" s="5"/>
      <c r="D251" s="5"/>
      <c r="E251" s="5"/>
      <c r="F251" s="5"/>
      <c r="G251" s="5"/>
      <c r="H251" s="5"/>
      <c r="I251" s="5"/>
    </row>
    <row r="252" spans="2:9" x14ac:dyDescent="0.3">
      <c r="B252" s="4"/>
      <c r="C252" s="5"/>
      <c r="D252" s="5"/>
      <c r="E252" s="5"/>
      <c r="F252" s="5"/>
      <c r="G252" s="5"/>
      <c r="H252" s="5"/>
      <c r="I252" s="5"/>
    </row>
    <row r="253" spans="2:9" x14ac:dyDescent="0.3">
      <c r="B253" s="4"/>
      <c r="C253" s="5"/>
      <c r="D253" s="5"/>
      <c r="E253" s="5"/>
      <c r="F253" s="5"/>
      <c r="G253" s="5"/>
      <c r="H253" s="5"/>
      <c r="I253" s="5"/>
    </row>
    <row r="254" spans="2:9" x14ac:dyDescent="0.3">
      <c r="B254" s="4"/>
      <c r="C254" s="5"/>
      <c r="D254" s="5"/>
      <c r="E254" s="5"/>
      <c r="F254" s="5"/>
      <c r="G254" s="5"/>
      <c r="H254" s="5"/>
      <c r="I254" s="5"/>
    </row>
    <row r="255" spans="2:9" x14ac:dyDescent="0.3">
      <c r="B255" s="4"/>
      <c r="C255" s="5"/>
      <c r="D255" s="5"/>
      <c r="E255" s="5"/>
      <c r="F255" s="5"/>
      <c r="G255" s="5"/>
      <c r="H255" s="5"/>
      <c r="I255" s="5"/>
    </row>
    <row r="256" spans="2:9" x14ac:dyDescent="0.3">
      <c r="B256" s="4"/>
      <c r="C256" s="5"/>
      <c r="D256" s="5"/>
      <c r="E256" s="5"/>
      <c r="F256" s="5"/>
      <c r="G256" s="5"/>
      <c r="H256" s="5"/>
      <c r="I256" s="5"/>
    </row>
    <row r="257" spans="2:9" x14ac:dyDescent="0.3">
      <c r="B257" s="4"/>
      <c r="C257" s="5"/>
      <c r="D257" s="5"/>
      <c r="E257" s="5"/>
      <c r="F257" s="5"/>
      <c r="G257" s="5"/>
      <c r="H257" s="5"/>
      <c r="I257" s="5"/>
    </row>
    <row r="258" spans="2:9" x14ac:dyDescent="0.3">
      <c r="B258" s="4"/>
      <c r="C258" s="5"/>
      <c r="D258" s="5"/>
      <c r="E258" s="5"/>
      <c r="F258" s="5"/>
      <c r="G258" s="5"/>
      <c r="H258" s="5"/>
      <c r="I258" s="5"/>
    </row>
    <row r="259" spans="2:9" x14ac:dyDescent="0.3">
      <c r="B259" s="4"/>
      <c r="C259" s="5"/>
      <c r="D259" s="5"/>
      <c r="E259" s="5"/>
      <c r="F259" s="5"/>
      <c r="G259" s="5"/>
      <c r="H259" s="5"/>
      <c r="I259" s="5"/>
    </row>
    <row r="260" spans="2:9" x14ac:dyDescent="0.3">
      <c r="B260" s="4"/>
      <c r="C260" s="5"/>
      <c r="D260" s="5"/>
      <c r="E260" s="5"/>
      <c r="F260" s="5"/>
      <c r="G260" s="5"/>
      <c r="H260" s="5"/>
      <c r="I260" s="5"/>
    </row>
    <row r="261" spans="2:9" x14ac:dyDescent="0.3">
      <c r="B261" s="4"/>
      <c r="C261" s="5"/>
      <c r="D261" s="5"/>
      <c r="E261" s="5"/>
      <c r="F261" s="5"/>
      <c r="G261" s="5"/>
      <c r="H261" s="5"/>
      <c r="I261" s="5"/>
    </row>
    <row r="262" spans="2:9" x14ac:dyDescent="0.3">
      <c r="B262" s="4"/>
      <c r="C262" s="5"/>
      <c r="D262" s="5"/>
      <c r="E262" s="5"/>
      <c r="F262" s="5"/>
      <c r="G262" s="5"/>
      <c r="H262" s="5"/>
      <c r="I262" s="5"/>
    </row>
    <row r="263" spans="2:9" x14ac:dyDescent="0.3">
      <c r="B263" s="4"/>
      <c r="C263" s="5"/>
      <c r="D263" s="5"/>
      <c r="E263" s="5"/>
      <c r="F263" s="5"/>
      <c r="G263" s="5"/>
      <c r="H263" s="5"/>
      <c r="I263" s="5"/>
    </row>
    <row r="264" spans="2:9" x14ac:dyDescent="0.3">
      <c r="B264" s="4"/>
      <c r="C264" s="5"/>
      <c r="D264" s="5"/>
      <c r="E264" s="5"/>
      <c r="F264" s="5"/>
      <c r="G264" s="5"/>
      <c r="H264" s="5"/>
      <c r="I264" s="5"/>
    </row>
    <row r="265" spans="2:9" x14ac:dyDescent="0.3">
      <c r="B265" s="4"/>
      <c r="C265" s="5"/>
      <c r="D265" s="5"/>
      <c r="E265" s="5"/>
      <c r="F265" s="5"/>
      <c r="G265" s="5"/>
      <c r="H265" s="5"/>
      <c r="I265" s="5"/>
    </row>
    <row r="266" spans="2:9" x14ac:dyDescent="0.3">
      <c r="B266" s="4"/>
      <c r="C266" s="5"/>
      <c r="D266" s="5"/>
      <c r="E266" s="5"/>
      <c r="F266" s="5"/>
      <c r="G266" s="5"/>
      <c r="H266" s="5"/>
      <c r="I266" s="5"/>
    </row>
    <row r="267" spans="2:9" x14ac:dyDescent="0.3">
      <c r="B267" s="4"/>
      <c r="C267" s="5"/>
      <c r="D267" s="5"/>
      <c r="E267" s="5"/>
      <c r="F267" s="5"/>
      <c r="G267" s="5"/>
      <c r="H267" s="5"/>
      <c r="I267" s="5"/>
    </row>
    <row r="268" spans="2:9" x14ac:dyDescent="0.3">
      <c r="B268" s="4"/>
      <c r="C268" s="5"/>
      <c r="D268" s="5"/>
      <c r="E268" s="5"/>
      <c r="F268" s="5"/>
      <c r="G268" s="5"/>
      <c r="H268" s="5"/>
      <c r="I268" s="5"/>
    </row>
    <row r="269" spans="2:9" x14ac:dyDescent="0.3">
      <c r="B269" s="4"/>
      <c r="C269" s="5"/>
      <c r="D269" s="5"/>
      <c r="E269" s="5"/>
      <c r="F269" s="5"/>
      <c r="G269" s="5"/>
      <c r="H269" s="5"/>
      <c r="I269" s="5"/>
    </row>
    <row r="270" spans="2:9" x14ac:dyDescent="0.3">
      <c r="B270" s="4"/>
      <c r="C270" s="5"/>
      <c r="D270" s="5"/>
      <c r="E270" s="5"/>
      <c r="F270" s="5"/>
      <c r="G270" s="5"/>
      <c r="H270" s="5"/>
      <c r="I270" s="5"/>
    </row>
    <row r="271" spans="2:9" x14ac:dyDescent="0.3">
      <c r="B271" s="4"/>
      <c r="C271" s="5"/>
      <c r="D271" s="5"/>
      <c r="E271" s="5"/>
      <c r="F271" s="5"/>
      <c r="G271" s="5"/>
      <c r="H271" s="5"/>
      <c r="I271" s="5"/>
    </row>
    <row r="272" spans="2:9" x14ac:dyDescent="0.3">
      <c r="B272" s="4"/>
      <c r="C272" s="5"/>
      <c r="D272" s="5"/>
      <c r="E272" s="5"/>
      <c r="F272" s="5"/>
      <c r="G272" s="5"/>
      <c r="H272" s="5"/>
      <c r="I272" s="5"/>
    </row>
    <row r="273" spans="2:9" x14ac:dyDescent="0.3">
      <c r="B273" s="4"/>
      <c r="C273" s="5"/>
      <c r="D273" s="5"/>
      <c r="E273" s="5"/>
      <c r="F273" s="5"/>
      <c r="G273" s="5"/>
      <c r="H273" s="5"/>
      <c r="I273" s="5"/>
    </row>
    <row r="274" spans="2:9" x14ac:dyDescent="0.3">
      <c r="B274" s="4"/>
      <c r="C274" s="5"/>
      <c r="D274" s="5"/>
      <c r="E274" s="5"/>
      <c r="F274" s="5"/>
      <c r="G274" s="5"/>
      <c r="H274" s="5"/>
      <c r="I274" s="5"/>
    </row>
    <row r="275" spans="2:9" x14ac:dyDescent="0.3">
      <c r="B275" s="4"/>
      <c r="C275" s="5"/>
      <c r="D275" s="5"/>
      <c r="E275" s="5"/>
      <c r="F275" s="5"/>
      <c r="G275" s="5"/>
      <c r="H275" s="5"/>
      <c r="I275" s="5"/>
    </row>
    <row r="276" spans="2:9" x14ac:dyDescent="0.3">
      <c r="B276" s="4"/>
      <c r="C276" s="5"/>
      <c r="D276" s="5"/>
      <c r="E276" s="5"/>
      <c r="F276" s="5"/>
      <c r="G276" s="5"/>
      <c r="H276" s="5"/>
      <c r="I276" s="5"/>
    </row>
    <row r="277" spans="2:9" x14ac:dyDescent="0.3">
      <c r="B277" s="4"/>
      <c r="C277" s="5"/>
      <c r="D277" s="5"/>
      <c r="E277" s="5"/>
      <c r="F277" s="5"/>
      <c r="G277" s="5"/>
      <c r="H277" s="5"/>
      <c r="I277" s="5"/>
    </row>
    <row r="278" spans="2:9" x14ac:dyDescent="0.3">
      <c r="B278" s="4"/>
      <c r="C278" s="5"/>
      <c r="D278" s="5"/>
      <c r="E278" s="5"/>
      <c r="F278" s="5"/>
      <c r="G278" s="5"/>
      <c r="H278" s="5"/>
      <c r="I278" s="5"/>
    </row>
    <row r="279" spans="2:9" x14ac:dyDescent="0.3">
      <c r="B279" s="4"/>
      <c r="C279" s="5"/>
      <c r="D279" s="5"/>
      <c r="E279" s="5"/>
      <c r="F279" s="5"/>
      <c r="G279" s="5"/>
      <c r="H279" s="5"/>
      <c r="I279" s="5"/>
    </row>
    <row r="280" spans="2:9" x14ac:dyDescent="0.3">
      <c r="B280" s="4"/>
      <c r="C280" s="5"/>
      <c r="D280" s="5"/>
      <c r="E280" s="5"/>
      <c r="F280" s="5"/>
      <c r="G280" s="5"/>
      <c r="H280" s="5"/>
      <c r="I280" s="5"/>
    </row>
    <row r="281" spans="2:9" x14ac:dyDescent="0.3">
      <c r="B281" s="4"/>
      <c r="C281" s="5"/>
      <c r="D281" s="5"/>
      <c r="E281" s="5"/>
      <c r="F281" s="5"/>
      <c r="G281" s="5"/>
      <c r="H281" s="5"/>
      <c r="I281" s="5"/>
    </row>
    <row r="282" spans="2:9" x14ac:dyDescent="0.3">
      <c r="B282" s="4"/>
      <c r="C282" s="5"/>
      <c r="D282" s="5"/>
      <c r="E282" s="5"/>
      <c r="F282" s="5"/>
      <c r="G282" s="5"/>
      <c r="H282" s="5"/>
      <c r="I282" s="5"/>
    </row>
    <row r="283" spans="2:9" x14ac:dyDescent="0.3">
      <c r="B283" s="4"/>
      <c r="C283" s="5"/>
      <c r="D283" s="5"/>
      <c r="E283" s="5"/>
      <c r="F283" s="5"/>
      <c r="G283" s="5"/>
      <c r="H283" s="5"/>
      <c r="I283" s="5"/>
    </row>
    <row r="284" spans="2:9" x14ac:dyDescent="0.3">
      <c r="B284" s="4"/>
      <c r="C284" s="5"/>
      <c r="D284" s="5"/>
      <c r="E284" s="5"/>
      <c r="F284" s="5"/>
      <c r="G284" s="5"/>
      <c r="H284" s="5"/>
      <c r="I284" s="5"/>
    </row>
    <row r="285" spans="2:9" x14ac:dyDescent="0.3">
      <c r="B285" s="4"/>
      <c r="C285" s="5"/>
      <c r="D285" s="5"/>
      <c r="E285" s="5"/>
      <c r="F285" s="5"/>
      <c r="G285" s="5"/>
      <c r="H285" s="5"/>
      <c r="I285" s="5"/>
    </row>
    <row r="286" spans="2:9" x14ac:dyDescent="0.3">
      <c r="B286" s="4"/>
      <c r="C286" s="5"/>
      <c r="D286" s="5"/>
      <c r="E286" s="5"/>
      <c r="F286" s="5"/>
      <c r="G286" s="5"/>
      <c r="H286" s="5"/>
      <c r="I286" s="5"/>
    </row>
    <row r="287" spans="2:9" x14ac:dyDescent="0.3">
      <c r="B287" s="4"/>
      <c r="C287" s="5"/>
      <c r="D287" s="5"/>
      <c r="E287" s="5"/>
      <c r="F287" s="5"/>
      <c r="G287" s="5"/>
      <c r="H287" s="5"/>
      <c r="I287" s="5"/>
    </row>
    <row r="288" spans="2:9" x14ac:dyDescent="0.3">
      <c r="B288" s="4"/>
      <c r="C288" s="5"/>
      <c r="D288" s="5"/>
      <c r="E288" s="5"/>
      <c r="F288" s="5"/>
      <c r="G288" s="5"/>
      <c r="H288" s="5"/>
      <c r="I288" s="5"/>
    </row>
    <row r="289" spans="2:9" x14ac:dyDescent="0.3">
      <c r="B289" s="4"/>
      <c r="C289" s="5"/>
      <c r="D289" s="5"/>
      <c r="E289" s="5"/>
      <c r="F289" s="5"/>
      <c r="G289" s="5"/>
      <c r="H289" s="5"/>
      <c r="I289" s="5"/>
    </row>
    <row r="290" spans="2:9" x14ac:dyDescent="0.3">
      <c r="B290" s="4"/>
      <c r="C290" s="5"/>
      <c r="D290" s="5"/>
      <c r="E290" s="5"/>
      <c r="F290" s="5"/>
      <c r="G290" s="5"/>
      <c r="H290" s="5"/>
      <c r="I290" s="5"/>
    </row>
    <row r="291" spans="2:9" x14ac:dyDescent="0.3">
      <c r="B291" s="4"/>
      <c r="C291" s="5"/>
      <c r="D291" s="5"/>
      <c r="E291" s="5"/>
      <c r="F291" s="5"/>
      <c r="G291" s="5"/>
      <c r="H291" s="5"/>
      <c r="I291" s="5"/>
    </row>
    <row r="292" spans="2:9" x14ac:dyDescent="0.3">
      <c r="B292" s="4"/>
      <c r="C292" s="5"/>
      <c r="D292" s="5"/>
      <c r="E292" s="5"/>
      <c r="F292" s="5"/>
      <c r="G292" s="5"/>
      <c r="H292" s="5"/>
      <c r="I292" s="5"/>
    </row>
    <row r="293" spans="2:9" x14ac:dyDescent="0.3">
      <c r="B293" s="4"/>
      <c r="C293" s="5"/>
      <c r="D293" s="5"/>
      <c r="E293" s="5"/>
      <c r="F293" s="5"/>
      <c r="G293" s="5"/>
      <c r="H293" s="5"/>
      <c r="I293" s="5"/>
    </row>
    <row r="294" spans="2:9" x14ac:dyDescent="0.3">
      <c r="B294" s="4"/>
      <c r="C294" s="5"/>
      <c r="D294" s="5"/>
      <c r="E294" s="5"/>
      <c r="F294" s="5"/>
      <c r="G294" s="5"/>
      <c r="H294" s="5"/>
      <c r="I294" s="5"/>
    </row>
    <row r="295" spans="2:9" x14ac:dyDescent="0.3">
      <c r="B295" s="4"/>
      <c r="C295" s="5"/>
      <c r="D295" s="5"/>
      <c r="E295" s="5"/>
      <c r="F295" s="5"/>
      <c r="G295" s="5"/>
      <c r="H295" s="5"/>
      <c r="I295" s="5"/>
    </row>
    <row r="296" spans="2:9" x14ac:dyDescent="0.3">
      <c r="B296" s="4"/>
      <c r="C296" s="5"/>
      <c r="D296" s="5"/>
      <c r="E296" s="5"/>
      <c r="F296" s="5"/>
      <c r="G296" s="5"/>
      <c r="H296" s="5"/>
      <c r="I296" s="5"/>
    </row>
    <row r="297" spans="2:9" x14ac:dyDescent="0.3">
      <c r="B297" s="4"/>
      <c r="C297" s="5"/>
      <c r="D297" s="5"/>
      <c r="E297" s="5"/>
      <c r="F297" s="5"/>
      <c r="G297" s="5"/>
      <c r="H297" s="5"/>
      <c r="I297" s="5"/>
    </row>
    <row r="298" spans="2:9" x14ac:dyDescent="0.3">
      <c r="B298" s="4"/>
      <c r="C298" s="5"/>
      <c r="D298" s="5"/>
      <c r="E298" s="5"/>
      <c r="F298" s="5"/>
      <c r="G298" s="5"/>
      <c r="H298" s="5"/>
      <c r="I298" s="5"/>
    </row>
    <row r="299" spans="2:9" x14ac:dyDescent="0.3">
      <c r="B299" s="4"/>
      <c r="C299" s="5"/>
      <c r="D299" s="5"/>
      <c r="E299" s="5"/>
      <c r="F299" s="5"/>
      <c r="G299" s="5"/>
      <c r="H299" s="5"/>
      <c r="I299" s="5"/>
    </row>
    <row r="300" spans="2:9" x14ac:dyDescent="0.3">
      <c r="B300" s="4"/>
      <c r="C300" s="5"/>
      <c r="D300" s="5"/>
      <c r="E300" s="5"/>
      <c r="F300" s="5"/>
      <c r="G300" s="5"/>
      <c r="H300" s="5"/>
      <c r="I300" s="5"/>
    </row>
    <row r="301" spans="2:9" x14ac:dyDescent="0.3">
      <c r="B301" s="4"/>
      <c r="C301" s="5"/>
      <c r="D301" s="5"/>
      <c r="E301" s="5"/>
      <c r="F301" s="5"/>
      <c r="G301" s="5"/>
      <c r="H301" s="5"/>
      <c r="I301" s="5"/>
    </row>
    <row r="302" spans="2:9" x14ac:dyDescent="0.3">
      <c r="B302" s="4"/>
      <c r="C302" s="5"/>
      <c r="D302" s="5"/>
      <c r="E302" s="5"/>
      <c r="F302" s="5"/>
      <c r="G302" s="5"/>
      <c r="H302" s="5"/>
      <c r="I302" s="5"/>
    </row>
    <row r="303" spans="2:9" x14ac:dyDescent="0.3">
      <c r="B303" s="4"/>
      <c r="C303" s="5"/>
      <c r="D303" s="5"/>
      <c r="E303" s="5"/>
      <c r="F303" s="5"/>
      <c r="G303" s="5"/>
      <c r="H303" s="5"/>
      <c r="I303" s="5"/>
    </row>
    <row r="304" spans="2:9" x14ac:dyDescent="0.3">
      <c r="B304" s="4"/>
      <c r="C304" s="5"/>
      <c r="D304" s="5"/>
      <c r="E304" s="5"/>
      <c r="F304" s="5"/>
      <c r="G304" s="5"/>
      <c r="H304" s="5"/>
      <c r="I304" s="5"/>
    </row>
    <row r="305" spans="2:9" x14ac:dyDescent="0.3">
      <c r="B305" s="4"/>
      <c r="C305" s="5"/>
      <c r="D305" s="5"/>
      <c r="E305" s="5"/>
      <c r="F305" s="5"/>
      <c r="G305" s="5"/>
      <c r="H305" s="5"/>
      <c r="I305" s="5"/>
    </row>
    <row r="306" spans="2:9" x14ac:dyDescent="0.3">
      <c r="B306" s="4"/>
      <c r="C306" s="5"/>
      <c r="D306" s="5"/>
      <c r="E306" s="5"/>
      <c r="F306" s="5"/>
      <c r="G306" s="5"/>
      <c r="H306" s="5"/>
      <c r="I306" s="5"/>
    </row>
    <row r="307" spans="2:9" x14ac:dyDescent="0.3">
      <c r="B307" s="4"/>
      <c r="C307" s="5"/>
      <c r="D307" s="5"/>
      <c r="E307" s="5"/>
      <c r="F307" s="5"/>
      <c r="G307" s="5"/>
      <c r="H307" s="5"/>
      <c r="I307" s="5"/>
    </row>
    <row r="308" spans="2:9" x14ac:dyDescent="0.3">
      <c r="B308" s="4"/>
      <c r="C308" s="5"/>
      <c r="D308" s="5"/>
      <c r="E308" s="5"/>
      <c r="F308" s="5"/>
      <c r="G308" s="5"/>
      <c r="H308" s="5"/>
      <c r="I308" s="5"/>
    </row>
    <row r="309" spans="2:9" x14ac:dyDescent="0.3">
      <c r="B309" s="4"/>
      <c r="C309" s="5"/>
      <c r="D309" s="5"/>
      <c r="E309" s="5"/>
      <c r="F309" s="5"/>
      <c r="G309" s="5"/>
      <c r="H309" s="5"/>
      <c r="I309" s="5"/>
    </row>
    <row r="310" spans="2:9" x14ac:dyDescent="0.3">
      <c r="B310" s="4"/>
      <c r="C310" s="5"/>
      <c r="D310" s="5"/>
      <c r="E310" s="5"/>
      <c r="F310" s="5"/>
      <c r="G310" s="5"/>
      <c r="H310" s="5"/>
      <c r="I310" s="5"/>
    </row>
    <row r="311" spans="2:9" x14ac:dyDescent="0.3">
      <c r="B311" s="4"/>
      <c r="C311" s="5"/>
      <c r="D311" s="5"/>
      <c r="E311" s="5"/>
      <c r="F311" s="5"/>
      <c r="G311" s="5"/>
      <c r="H311" s="5"/>
      <c r="I311" s="5"/>
    </row>
    <row r="312" spans="2:9" x14ac:dyDescent="0.3">
      <c r="B312" s="4"/>
      <c r="C312" s="5"/>
      <c r="D312" s="5"/>
      <c r="E312" s="5"/>
      <c r="F312" s="5"/>
      <c r="G312" s="5"/>
      <c r="H312" s="5"/>
      <c r="I312" s="5"/>
    </row>
    <row r="313" spans="2:9" x14ac:dyDescent="0.3">
      <c r="B313" s="4"/>
      <c r="C313" s="5"/>
      <c r="D313" s="5"/>
      <c r="E313" s="5"/>
      <c r="F313" s="5"/>
      <c r="G313" s="5"/>
      <c r="H313" s="5"/>
      <c r="I313" s="5"/>
    </row>
    <row r="314" spans="2:9" x14ac:dyDescent="0.3">
      <c r="B314" s="4"/>
      <c r="C314" s="5"/>
      <c r="D314" s="5"/>
      <c r="E314" s="5"/>
      <c r="F314" s="5"/>
      <c r="G314" s="5"/>
      <c r="H314" s="5"/>
      <c r="I314" s="5"/>
    </row>
    <row r="315" spans="2:9" x14ac:dyDescent="0.3">
      <c r="B315" s="4"/>
      <c r="C315" s="5"/>
      <c r="D315" s="5"/>
      <c r="E315" s="5"/>
      <c r="F315" s="5"/>
      <c r="G315" s="5"/>
      <c r="H315" s="5"/>
      <c r="I315" s="5"/>
    </row>
    <row r="316" spans="2:9" x14ac:dyDescent="0.3">
      <c r="B316" s="4"/>
      <c r="C316" s="5"/>
      <c r="D316" s="5"/>
      <c r="E316" s="5"/>
      <c r="F316" s="5"/>
      <c r="G316" s="5"/>
      <c r="H316" s="5"/>
      <c r="I316" s="5"/>
    </row>
    <row r="317" spans="2:9" x14ac:dyDescent="0.3">
      <c r="B317" s="4"/>
      <c r="C317" s="5"/>
      <c r="D317" s="5"/>
      <c r="E317" s="5"/>
      <c r="F317" s="5"/>
      <c r="G317" s="5"/>
      <c r="H317" s="5"/>
      <c r="I317" s="5"/>
    </row>
    <row r="318" spans="2:9" x14ac:dyDescent="0.3">
      <c r="B318" s="4"/>
      <c r="C318" s="5"/>
      <c r="D318" s="5"/>
      <c r="E318" s="5"/>
      <c r="F318" s="5"/>
      <c r="G318" s="5"/>
      <c r="H318" s="5"/>
      <c r="I318" s="5"/>
    </row>
    <row r="319" spans="2:9" x14ac:dyDescent="0.3">
      <c r="B319" s="4"/>
      <c r="C319" s="5"/>
      <c r="D319" s="5"/>
      <c r="E319" s="5"/>
      <c r="F319" s="5"/>
      <c r="G319" s="5"/>
      <c r="H319" s="5"/>
      <c r="I319" s="5"/>
    </row>
    <row r="320" spans="2:9" x14ac:dyDescent="0.3">
      <c r="B320" s="4"/>
      <c r="C320" s="5"/>
      <c r="D320" s="5"/>
      <c r="E320" s="5"/>
      <c r="F320" s="5"/>
      <c r="G320" s="5"/>
      <c r="H320" s="5"/>
      <c r="I320" s="5"/>
    </row>
    <row r="321" spans="2:9" x14ac:dyDescent="0.3">
      <c r="B321" s="4"/>
      <c r="C321" s="5"/>
      <c r="D321" s="5"/>
      <c r="E321" s="5"/>
      <c r="F321" s="5"/>
      <c r="G321" s="5"/>
      <c r="H321" s="5"/>
      <c r="I321" s="5"/>
    </row>
    <row r="322" spans="2:9" x14ac:dyDescent="0.3">
      <c r="B322" s="4"/>
      <c r="C322" s="5"/>
      <c r="D322" s="5"/>
      <c r="E322" s="5"/>
      <c r="F322" s="5"/>
      <c r="G322" s="5"/>
      <c r="H322" s="5"/>
      <c r="I322" s="5"/>
    </row>
    <row r="323" spans="2:9" x14ac:dyDescent="0.3">
      <c r="B323" s="4"/>
      <c r="C323" s="5"/>
      <c r="D323" s="5"/>
      <c r="E323" s="5"/>
      <c r="F323" s="5"/>
      <c r="G323" s="5"/>
      <c r="H323" s="5"/>
      <c r="I323" s="5"/>
    </row>
    <row r="324" spans="2:9" x14ac:dyDescent="0.3">
      <c r="B324" s="4"/>
      <c r="C324" s="5"/>
      <c r="D324" s="5"/>
      <c r="E324" s="5"/>
      <c r="F324" s="5"/>
      <c r="G324" s="5"/>
      <c r="H324" s="5"/>
      <c r="I324" s="5"/>
    </row>
    <row r="325" spans="2:9" x14ac:dyDescent="0.3">
      <c r="B325" s="4"/>
      <c r="C325" s="5"/>
      <c r="D325" s="5"/>
      <c r="E325" s="5"/>
      <c r="F325" s="5"/>
      <c r="G325" s="5"/>
      <c r="H325" s="5"/>
      <c r="I325" s="5"/>
    </row>
    <row r="326" spans="2:9" x14ac:dyDescent="0.3">
      <c r="B326" s="4"/>
      <c r="C326" s="5"/>
      <c r="D326" s="5"/>
      <c r="E326" s="5"/>
      <c r="F326" s="5"/>
      <c r="G326" s="5"/>
      <c r="H326" s="5"/>
      <c r="I326" s="5"/>
    </row>
    <row r="327" spans="2:9" x14ac:dyDescent="0.3">
      <c r="B327" s="4"/>
      <c r="C327" s="5"/>
      <c r="D327" s="5"/>
      <c r="E327" s="5"/>
      <c r="F327" s="5"/>
      <c r="G327" s="5"/>
      <c r="H327" s="5"/>
      <c r="I327" s="5"/>
    </row>
    <row r="328" spans="2:9" x14ac:dyDescent="0.3">
      <c r="B328" s="4"/>
      <c r="C328" s="5"/>
      <c r="D328" s="5"/>
      <c r="E328" s="5"/>
      <c r="F328" s="5"/>
      <c r="G328" s="5"/>
      <c r="H328" s="5"/>
      <c r="I328" s="5"/>
    </row>
    <row r="329" spans="2:9" x14ac:dyDescent="0.3">
      <c r="B329" s="4"/>
      <c r="C329" s="5"/>
      <c r="D329" s="5"/>
      <c r="E329" s="5"/>
      <c r="F329" s="5"/>
      <c r="G329" s="5"/>
      <c r="H329" s="5"/>
      <c r="I329" s="5"/>
    </row>
    <row r="330" spans="2:9" x14ac:dyDescent="0.3">
      <c r="B330" s="4"/>
      <c r="C330" s="5"/>
      <c r="D330" s="5"/>
      <c r="E330" s="5"/>
      <c r="F330" s="5"/>
      <c r="G330" s="5"/>
      <c r="H330" s="5"/>
      <c r="I330" s="5"/>
    </row>
    <row r="331" spans="2:9" x14ac:dyDescent="0.3">
      <c r="B331" s="4"/>
      <c r="C331" s="5"/>
      <c r="D331" s="5"/>
      <c r="E331" s="5"/>
      <c r="F331" s="5"/>
      <c r="G331" s="5"/>
      <c r="H331" s="5"/>
      <c r="I331" s="5"/>
    </row>
    <row r="332" spans="2:9" x14ac:dyDescent="0.3">
      <c r="B332" s="4"/>
      <c r="C332" s="5"/>
      <c r="D332" s="5"/>
      <c r="E332" s="5"/>
      <c r="F332" s="5"/>
      <c r="G332" s="5"/>
      <c r="H332" s="5"/>
      <c r="I332" s="5"/>
    </row>
    <row r="333" spans="2:9" x14ac:dyDescent="0.3">
      <c r="B333" s="4"/>
      <c r="C333" s="5"/>
      <c r="D333" s="5"/>
      <c r="E333" s="5"/>
      <c r="F333" s="5"/>
      <c r="G333" s="5"/>
      <c r="H333" s="5"/>
      <c r="I333" s="5"/>
    </row>
    <row r="334" spans="2:9" x14ac:dyDescent="0.3">
      <c r="B334" s="4"/>
      <c r="C334" s="5"/>
      <c r="D334" s="5"/>
      <c r="E334" s="5"/>
      <c r="F334" s="5"/>
      <c r="G334" s="5"/>
      <c r="H334" s="5"/>
      <c r="I334" s="5"/>
    </row>
    <row r="335" spans="2:9" x14ac:dyDescent="0.3">
      <c r="B335" s="4"/>
      <c r="C335" s="5"/>
      <c r="D335" s="5"/>
      <c r="E335" s="5"/>
      <c r="F335" s="5"/>
      <c r="G335" s="5"/>
      <c r="H335" s="5"/>
      <c r="I335" s="5"/>
    </row>
    <row r="336" spans="2:9" x14ac:dyDescent="0.3">
      <c r="B336" s="4"/>
      <c r="C336" s="5"/>
      <c r="D336" s="5"/>
      <c r="E336" s="5"/>
      <c r="F336" s="5"/>
      <c r="G336" s="5"/>
      <c r="H336" s="5"/>
      <c r="I336" s="5"/>
    </row>
    <row r="337" spans="2:9" x14ac:dyDescent="0.3">
      <c r="B337" s="4"/>
      <c r="C337" s="5"/>
      <c r="D337" s="5"/>
      <c r="E337" s="5"/>
      <c r="F337" s="5"/>
      <c r="G337" s="5"/>
      <c r="H337" s="5"/>
      <c r="I337" s="5"/>
    </row>
    <row r="338" spans="2:9" x14ac:dyDescent="0.3">
      <c r="B338" s="4"/>
      <c r="C338" s="5"/>
      <c r="D338" s="5"/>
      <c r="E338" s="5"/>
      <c r="F338" s="5"/>
      <c r="G338" s="5"/>
      <c r="H338" s="5"/>
      <c r="I338" s="5"/>
    </row>
    <row r="339" spans="2:9" x14ac:dyDescent="0.3">
      <c r="B339" s="4"/>
      <c r="C339" s="5"/>
      <c r="D339" s="5"/>
      <c r="E339" s="5"/>
      <c r="F339" s="5"/>
      <c r="G339" s="5"/>
      <c r="H339" s="5"/>
      <c r="I339" s="5"/>
    </row>
    <row r="340" spans="2:9" x14ac:dyDescent="0.3">
      <c r="B340" s="4"/>
      <c r="C340" s="5"/>
      <c r="D340" s="5"/>
      <c r="E340" s="5"/>
      <c r="F340" s="5"/>
      <c r="G340" s="5"/>
      <c r="H340" s="5"/>
      <c r="I340" s="5"/>
    </row>
    <row r="341" spans="2:9" x14ac:dyDescent="0.3">
      <c r="B341" s="4"/>
      <c r="C341" s="5"/>
      <c r="D341" s="5"/>
      <c r="E341" s="5"/>
      <c r="F341" s="5"/>
      <c r="G341" s="5"/>
      <c r="H341" s="5"/>
      <c r="I341" s="5"/>
    </row>
    <row r="342" spans="2:9" x14ac:dyDescent="0.3">
      <c r="B342" s="4"/>
      <c r="C342" s="5"/>
      <c r="D342" s="5"/>
      <c r="E342" s="5"/>
      <c r="F342" s="5"/>
      <c r="G342" s="5"/>
      <c r="H342" s="5"/>
      <c r="I342" s="5"/>
    </row>
    <row r="343" spans="2:9" x14ac:dyDescent="0.3">
      <c r="B343" s="4"/>
      <c r="C343" s="5"/>
      <c r="D343" s="5"/>
      <c r="E343" s="5"/>
      <c r="F343" s="5"/>
      <c r="G343" s="5"/>
      <c r="H343" s="5"/>
      <c r="I343" s="5"/>
    </row>
    <row r="344" spans="2:9" x14ac:dyDescent="0.3">
      <c r="B344" s="4"/>
      <c r="C344" s="5"/>
      <c r="D344" s="5"/>
      <c r="E344" s="5"/>
      <c r="F344" s="5"/>
      <c r="G344" s="5"/>
      <c r="H344" s="5"/>
      <c r="I344" s="5"/>
    </row>
    <row r="345" spans="2:9" x14ac:dyDescent="0.3">
      <c r="B345" s="4"/>
      <c r="C345" s="5"/>
      <c r="D345" s="5"/>
      <c r="E345" s="5"/>
      <c r="F345" s="5"/>
      <c r="G345" s="5"/>
      <c r="H345" s="5"/>
      <c r="I345" s="5"/>
    </row>
    <row r="346" spans="2:9" x14ac:dyDescent="0.3">
      <c r="B346" s="4"/>
      <c r="C346" s="5"/>
      <c r="D346" s="5"/>
      <c r="E346" s="5"/>
      <c r="F346" s="5"/>
      <c r="G346" s="5"/>
      <c r="H346" s="5"/>
      <c r="I346" s="5"/>
    </row>
    <row r="347" spans="2:9" x14ac:dyDescent="0.3">
      <c r="B347" s="4"/>
      <c r="C347" s="5"/>
      <c r="D347" s="5"/>
      <c r="E347" s="5"/>
      <c r="F347" s="5"/>
      <c r="G347" s="5"/>
      <c r="H347" s="5"/>
      <c r="I347" s="5"/>
    </row>
    <row r="348" spans="2:9" x14ac:dyDescent="0.3">
      <c r="B348" s="4"/>
      <c r="C348" s="5"/>
      <c r="D348" s="5"/>
      <c r="E348" s="5"/>
      <c r="F348" s="5"/>
      <c r="G348" s="5"/>
      <c r="H348" s="5"/>
      <c r="I348" s="5"/>
    </row>
    <row r="349" spans="2:9" x14ac:dyDescent="0.3">
      <c r="B349" s="4"/>
      <c r="C349" s="5"/>
      <c r="D349" s="5"/>
      <c r="E349" s="5"/>
      <c r="F349" s="5"/>
      <c r="G349" s="5"/>
      <c r="H349" s="5"/>
      <c r="I349" s="5"/>
    </row>
    <row r="350" spans="2:9" x14ac:dyDescent="0.3">
      <c r="B350" s="4"/>
      <c r="C350" s="5"/>
      <c r="D350" s="5"/>
      <c r="E350" s="5"/>
      <c r="F350" s="5"/>
      <c r="G350" s="5"/>
      <c r="H350" s="5"/>
      <c r="I350" s="5"/>
    </row>
    <row r="351" spans="2:9" x14ac:dyDescent="0.3">
      <c r="B351" s="4"/>
      <c r="C351" s="5"/>
      <c r="D351" s="5"/>
      <c r="E351" s="5"/>
      <c r="F351" s="5"/>
      <c r="G351" s="5"/>
      <c r="H351" s="5"/>
      <c r="I351" s="5"/>
    </row>
    <row r="352" spans="2:9" x14ac:dyDescent="0.3">
      <c r="B352" s="4"/>
      <c r="C352" s="5"/>
      <c r="D352" s="5"/>
      <c r="E352" s="5"/>
      <c r="F352" s="5"/>
      <c r="G352" s="5"/>
      <c r="H352" s="5"/>
      <c r="I352" s="5"/>
    </row>
    <row r="353" spans="2:9" x14ac:dyDescent="0.3">
      <c r="B353" s="4"/>
      <c r="C353" s="5"/>
      <c r="D353" s="5"/>
      <c r="E353" s="5"/>
      <c r="F353" s="5"/>
      <c r="G353" s="5"/>
      <c r="H353" s="5"/>
      <c r="I353" s="5"/>
    </row>
    <row r="354" spans="2:9" x14ac:dyDescent="0.3">
      <c r="B354" s="4"/>
      <c r="C354" s="5"/>
      <c r="D354" s="5"/>
      <c r="E354" s="5"/>
      <c r="F354" s="5"/>
      <c r="G354" s="5"/>
      <c r="H354" s="5"/>
      <c r="I354" s="5"/>
    </row>
    <row r="355" spans="2:9" x14ac:dyDescent="0.3">
      <c r="B355" s="4"/>
      <c r="C355" s="5"/>
      <c r="D355" s="5"/>
      <c r="E355" s="5"/>
      <c r="F355" s="5"/>
      <c r="G355" s="5"/>
      <c r="H355" s="5"/>
      <c r="I355" s="5"/>
    </row>
    <row r="356" spans="2:9" x14ac:dyDescent="0.3">
      <c r="B356" s="4"/>
      <c r="C356" s="5"/>
      <c r="D356" s="5"/>
      <c r="E356" s="5"/>
      <c r="F356" s="5"/>
      <c r="G356" s="5"/>
      <c r="H356" s="5"/>
      <c r="I356" s="5"/>
    </row>
    <row r="357" spans="2:9" x14ac:dyDescent="0.3">
      <c r="B357" s="4"/>
      <c r="C357" s="5"/>
      <c r="D357" s="5"/>
      <c r="E357" s="5"/>
      <c r="F357" s="5"/>
      <c r="G357" s="5"/>
      <c r="H357" s="5"/>
      <c r="I357" s="5"/>
    </row>
    <row r="358" spans="2:9" x14ac:dyDescent="0.3">
      <c r="B358" s="4"/>
      <c r="C358" s="5"/>
      <c r="D358" s="5"/>
      <c r="E358" s="5"/>
      <c r="F358" s="5"/>
      <c r="G358" s="5"/>
      <c r="H358" s="5"/>
      <c r="I358" s="5"/>
    </row>
    <row r="359" spans="2:9" x14ac:dyDescent="0.3">
      <c r="B359" s="4"/>
      <c r="C359" s="5"/>
      <c r="D359" s="5"/>
      <c r="E359" s="5"/>
      <c r="F359" s="5"/>
      <c r="G359" s="5"/>
      <c r="H359" s="5"/>
      <c r="I359" s="5"/>
    </row>
    <row r="360" spans="2:9" x14ac:dyDescent="0.3">
      <c r="B360" s="4"/>
      <c r="C360" s="5"/>
      <c r="D360" s="5"/>
      <c r="E360" s="5"/>
      <c r="F360" s="5"/>
      <c r="G360" s="5"/>
      <c r="H360" s="5"/>
      <c r="I360" s="5"/>
    </row>
    <row r="361" spans="2:9" x14ac:dyDescent="0.3">
      <c r="B361" s="4"/>
      <c r="C361" s="5"/>
      <c r="D361" s="5"/>
      <c r="E361" s="5"/>
      <c r="F361" s="5"/>
      <c r="G361" s="5"/>
      <c r="H361" s="5"/>
      <c r="I361" s="5"/>
    </row>
    <row r="362" spans="2:9" x14ac:dyDescent="0.3">
      <c r="B362" s="4"/>
      <c r="C362" s="5"/>
      <c r="D362" s="5"/>
      <c r="E362" s="5"/>
      <c r="F362" s="5"/>
      <c r="G362" s="5"/>
      <c r="H362" s="5"/>
      <c r="I362" s="5"/>
    </row>
    <row r="363" spans="2:9" x14ac:dyDescent="0.3">
      <c r="B363" s="4"/>
      <c r="C363" s="5"/>
      <c r="D363" s="5"/>
      <c r="E363" s="5"/>
      <c r="F363" s="5"/>
      <c r="G363" s="5"/>
      <c r="H363" s="5"/>
      <c r="I363" s="5"/>
    </row>
    <row r="364" spans="2:9" x14ac:dyDescent="0.3">
      <c r="B364" s="4"/>
      <c r="C364" s="5"/>
      <c r="D364" s="5"/>
      <c r="E364" s="5"/>
      <c r="F364" s="5"/>
      <c r="G364" s="5"/>
      <c r="H364" s="5"/>
      <c r="I364" s="5"/>
    </row>
    <row r="365" spans="2:9" x14ac:dyDescent="0.3">
      <c r="B365" s="4"/>
      <c r="C365" s="5"/>
      <c r="D365" s="5"/>
      <c r="E365" s="5"/>
      <c r="F365" s="5"/>
      <c r="G365" s="5"/>
      <c r="H365" s="5"/>
      <c r="I365" s="5"/>
    </row>
    <row r="366" spans="2:9" x14ac:dyDescent="0.3">
      <c r="B366" s="4"/>
      <c r="C366" s="5"/>
      <c r="D366" s="5"/>
      <c r="E366" s="5"/>
      <c r="F366" s="5"/>
      <c r="G366" s="5"/>
      <c r="H366" s="5"/>
      <c r="I366" s="5"/>
    </row>
    <row r="367" spans="2:9" x14ac:dyDescent="0.3">
      <c r="B367" s="4"/>
      <c r="C367" s="5"/>
      <c r="D367" s="5"/>
      <c r="E367" s="5"/>
      <c r="F367" s="5"/>
      <c r="G367" s="5"/>
      <c r="H367" s="5"/>
      <c r="I367" s="5"/>
    </row>
    <row r="368" spans="2:9" x14ac:dyDescent="0.3">
      <c r="B368" s="4"/>
      <c r="C368" s="5"/>
      <c r="D368" s="5"/>
      <c r="E368" s="5"/>
      <c r="F368" s="5"/>
      <c r="G368" s="5"/>
      <c r="H368" s="5"/>
      <c r="I368" s="5"/>
    </row>
    <row r="369" spans="2:9" x14ac:dyDescent="0.3">
      <c r="B369" s="4"/>
      <c r="C369" s="5"/>
      <c r="D369" s="5"/>
      <c r="E369" s="5"/>
      <c r="F369" s="5"/>
      <c r="G369" s="5"/>
      <c r="H369" s="5"/>
      <c r="I369" s="5"/>
    </row>
    <row r="370" spans="2:9" x14ac:dyDescent="0.3">
      <c r="B370" s="4"/>
      <c r="C370" s="5"/>
      <c r="D370" s="5"/>
      <c r="E370" s="5"/>
      <c r="F370" s="5"/>
      <c r="G370" s="5"/>
      <c r="H370" s="5"/>
      <c r="I370" s="5"/>
    </row>
    <row r="371" spans="2:9" x14ac:dyDescent="0.3">
      <c r="B371" s="4"/>
      <c r="C371" s="5"/>
      <c r="D371" s="5"/>
      <c r="E371" s="5"/>
      <c r="F371" s="5"/>
      <c r="G371" s="5"/>
      <c r="H371" s="5"/>
      <c r="I371" s="5"/>
    </row>
    <row r="372" spans="2:9" x14ac:dyDescent="0.3">
      <c r="B372" s="4"/>
      <c r="C372" s="5"/>
      <c r="D372" s="5"/>
      <c r="E372" s="5"/>
      <c r="F372" s="5"/>
      <c r="G372" s="5"/>
      <c r="H372" s="5"/>
      <c r="I372" s="5"/>
    </row>
    <row r="373" spans="2:9" x14ac:dyDescent="0.3">
      <c r="B373" s="4"/>
      <c r="C373" s="5"/>
      <c r="D373" s="5"/>
      <c r="E373" s="5"/>
      <c r="F373" s="5"/>
      <c r="G373" s="5"/>
      <c r="H373" s="5"/>
      <c r="I373" s="5"/>
    </row>
    <row r="374" spans="2:9" x14ac:dyDescent="0.3">
      <c r="B374" s="4"/>
      <c r="C374" s="5"/>
      <c r="D374" s="5"/>
      <c r="E374" s="5"/>
      <c r="F374" s="5"/>
      <c r="G374" s="5"/>
      <c r="H374" s="5"/>
      <c r="I374" s="5"/>
    </row>
    <row r="375" spans="2:9" x14ac:dyDescent="0.3">
      <c r="B375" s="4"/>
      <c r="C375" s="5"/>
      <c r="D375" s="5"/>
      <c r="E375" s="5"/>
      <c r="F375" s="5"/>
      <c r="G375" s="5"/>
      <c r="H375" s="5"/>
      <c r="I375" s="5"/>
    </row>
    <row r="376" spans="2:9" x14ac:dyDescent="0.3">
      <c r="B376" s="4"/>
      <c r="C376" s="5"/>
      <c r="D376" s="5"/>
      <c r="E376" s="5"/>
      <c r="F376" s="5"/>
      <c r="G376" s="5"/>
      <c r="H376" s="5"/>
      <c r="I376" s="5"/>
    </row>
    <row r="377" spans="2:9" x14ac:dyDescent="0.3">
      <c r="B377" s="4"/>
      <c r="C377" s="5"/>
      <c r="D377" s="5"/>
      <c r="E377" s="5"/>
      <c r="F377" s="5"/>
      <c r="G377" s="5"/>
      <c r="H377" s="5"/>
      <c r="I377" s="5"/>
    </row>
    <row r="378" spans="2:9" x14ac:dyDescent="0.3">
      <c r="B378" s="4"/>
      <c r="C378" s="5"/>
      <c r="D378" s="5"/>
      <c r="E378" s="5"/>
      <c r="F378" s="5"/>
      <c r="G378" s="5"/>
      <c r="H378" s="5"/>
      <c r="I378" s="5"/>
    </row>
    <row r="379" spans="2:9" x14ac:dyDescent="0.3">
      <c r="B379" s="4"/>
      <c r="C379" s="5"/>
      <c r="D379" s="5"/>
      <c r="E379" s="5"/>
      <c r="F379" s="5"/>
      <c r="G379" s="5"/>
      <c r="H379" s="5"/>
      <c r="I379" s="5"/>
    </row>
    <row r="380" spans="2:9" x14ac:dyDescent="0.3">
      <c r="B380" s="4"/>
      <c r="C380" s="5"/>
      <c r="D380" s="5"/>
      <c r="E380" s="5"/>
      <c r="F380" s="5"/>
      <c r="G380" s="5"/>
      <c r="H380" s="5"/>
      <c r="I380" s="5"/>
    </row>
    <row r="381" spans="2:9" x14ac:dyDescent="0.3">
      <c r="B381" s="4"/>
      <c r="C381" s="5"/>
      <c r="D381" s="5"/>
      <c r="E381" s="5"/>
      <c r="F381" s="5"/>
      <c r="G381" s="5"/>
      <c r="H381" s="5"/>
      <c r="I381" s="5"/>
    </row>
    <row r="382" spans="2:9" x14ac:dyDescent="0.3">
      <c r="B382" s="4"/>
      <c r="C382" s="5"/>
      <c r="D382" s="5"/>
      <c r="E382" s="5"/>
      <c r="F382" s="5"/>
      <c r="G382" s="5"/>
      <c r="H382" s="5"/>
      <c r="I382" s="5"/>
    </row>
    <row r="383" spans="2:9" x14ac:dyDescent="0.3">
      <c r="B383" s="4"/>
      <c r="C383" s="5"/>
      <c r="D383" s="5"/>
      <c r="E383" s="5"/>
      <c r="F383" s="5"/>
      <c r="G383" s="5"/>
      <c r="H383" s="5"/>
      <c r="I383" s="5"/>
    </row>
    <row r="384" spans="2:9" x14ac:dyDescent="0.3">
      <c r="B384" s="4"/>
      <c r="C384" s="5"/>
      <c r="D384" s="5"/>
      <c r="E384" s="5"/>
      <c r="F384" s="5"/>
      <c r="G384" s="5"/>
      <c r="H384" s="5"/>
      <c r="I384" s="5"/>
    </row>
    <row r="385" spans="2:9" x14ac:dyDescent="0.3">
      <c r="B385" s="4"/>
      <c r="C385" s="5"/>
      <c r="D385" s="5"/>
      <c r="E385" s="5"/>
      <c r="F385" s="5"/>
      <c r="G385" s="5"/>
      <c r="H385" s="5"/>
      <c r="I385" s="5"/>
    </row>
    <row r="386" spans="2:9" x14ac:dyDescent="0.3">
      <c r="B386" s="4"/>
      <c r="C386" s="5"/>
      <c r="D386" s="5"/>
      <c r="E386" s="5"/>
      <c r="F386" s="5"/>
      <c r="G386" s="5"/>
      <c r="H386" s="5"/>
      <c r="I386" s="5"/>
    </row>
    <row r="387" spans="2:9" x14ac:dyDescent="0.3">
      <c r="B387" s="4"/>
      <c r="C387" s="5"/>
      <c r="D387" s="5"/>
      <c r="E387" s="5"/>
      <c r="F387" s="5"/>
      <c r="G387" s="5"/>
      <c r="H387" s="5"/>
      <c r="I387" s="5"/>
    </row>
    <row r="388" spans="2:9" x14ac:dyDescent="0.3">
      <c r="B388" s="4"/>
      <c r="C388" s="5"/>
      <c r="D388" s="5"/>
      <c r="E388" s="5"/>
      <c r="F388" s="5"/>
      <c r="G388" s="5"/>
      <c r="H388" s="5"/>
      <c r="I388" s="5"/>
    </row>
    <row r="389" spans="2:9" x14ac:dyDescent="0.3">
      <c r="B389" s="4"/>
      <c r="C389" s="5"/>
      <c r="D389" s="5"/>
      <c r="E389" s="5"/>
      <c r="F389" s="5"/>
      <c r="G389" s="5"/>
      <c r="H389" s="5"/>
      <c r="I389" s="5"/>
    </row>
    <row r="390" spans="2:9" x14ac:dyDescent="0.3">
      <c r="B390" s="4"/>
      <c r="C390" s="5"/>
      <c r="D390" s="5"/>
      <c r="E390" s="5"/>
      <c r="F390" s="5"/>
      <c r="G390" s="5"/>
      <c r="H390" s="5"/>
      <c r="I390" s="5"/>
    </row>
    <row r="391" spans="2:9" x14ac:dyDescent="0.3">
      <c r="B391" s="4"/>
      <c r="C391" s="5"/>
      <c r="D391" s="5"/>
      <c r="E391" s="5"/>
      <c r="F391" s="5"/>
      <c r="G391" s="5"/>
      <c r="H391" s="5"/>
      <c r="I391" s="5"/>
    </row>
    <row r="392" spans="2:9" x14ac:dyDescent="0.3">
      <c r="B392" s="4"/>
      <c r="C392" s="5"/>
      <c r="D392" s="5"/>
      <c r="E392" s="5"/>
      <c r="F392" s="5"/>
      <c r="G392" s="5"/>
      <c r="H392" s="5"/>
      <c r="I392" s="5"/>
    </row>
    <row r="393" spans="2:9" x14ac:dyDescent="0.3">
      <c r="B393" s="4"/>
      <c r="C393" s="5"/>
      <c r="D393" s="5"/>
      <c r="E393" s="5"/>
      <c r="F393" s="5"/>
      <c r="G393" s="5"/>
      <c r="H393" s="5"/>
      <c r="I393" s="5"/>
    </row>
    <row r="394" spans="2:9" x14ac:dyDescent="0.3">
      <c r="B394" s="4"/>
      <c r="C394" s="5"/>
      <c r="D394" s="5"/>
      <c r="E394" s="5"/>
      <c r="F394" s="5"/>
      <c r="G394" s="5"/>
      <c r="H394" s="5"/>
      <c r="I394" s="5"/>
    </row>
    <row r="395" spans="2:9" x14ac:dyDescent="0.3">
      <c r="B395" s="4"/>
      <c r="C395" s="5"/>
      <c r="D395" s="5"/>
      <c r="E395" s="5"/>
      <c r="F395" s="5"/>
      <c r="G395" s="5"/>
      <c r="H395" s="5"/>
      <c r="I395" s="5"/>
    </row>
    <row r="396" spans="2:9" x14ac:dyDescent="0.3">
      <c r="B396" s="4"/>
      <c r="C396" s="5"/>
      <c r="D396" s="5"/>
      <c r="E396" s="5"/>
      <c r="F396" s="5"/>
      <c r="G396" s="5"/>
      <c r="H396" s="5"/>
      <c r="I396" s="5"/>
    </row>
    <row r="397" spans="2:9" x14ac:dyDescent="0.3">
      <c r="B397" s="4"/>
      <c r="C397" s="5"/>
      <c r="D397" s="5"/>
      <c r="E397" s="5"/>
      <c r="F397" s="5"/>
      <c r="G397" s="5"/>
      <c r="H397" s="5"/>
      <c r="I397" s="5"/>
    </row>
    <row r="398" spans="2:9" x14ac:dyDescent="0.3">
      <c r="B398" s="4"/>
      <c r="C398" s="5"/>
      <c r="D398" s="5"/>
      <c r="E398" s="5"/>
      <c r="F398" s="5"/>
      <c r="G398" s="5"/>
      <c r="H398" s="5"/>
      <c r="I398" s="5"/>
    </row>
    <row r="399" spans="2:9" x14ac:dyDescent="0.3">
      <c r="B399" s="4"/>
      <c r="C399" s="5"/>
      <c r="D399" s="5"/>
      <c r="E399" s="5"/>
      <c r="F399" s="5"/>
      <c r="G399" s="5"/>
      <c r="H399" s="5"/>
      <c r="I399" s="5"/>
    </row>
    <row r="400" spans="2:9" x14ac:dyDescent="0.3">
      <c r="B400" s="4"/>
      <c r="C400" s="5"/>
      <c r="D400" s="5"/>
      <c r="E400" s="5"/>
      <c r="F400" s="5"/>
      <c r="G400" s="5"/>
      <c r="H400" s="5"/>
      <c r="I400" s="5"/>
    </row>
    <row r="401" spans="2:9" x14ac:dyDescent="0.3">
      <c r="B401" s="4"/>
      <c r="C401" s="5"/>
      <c r="D401" s="5"/>
      <c r="E401" s="5"/>
      <c r="F401" s="5"/>
      <c r="G401" s="5"/>
      <c r="H401" s="5"/>
      <c r="I401" s="5"/>
    </row>
    <row r="402" spans="2:9" x14ac:dyDescent="0.3">
      <c r="B402" s="4"/>
      <c r="C402" s="5"/>
      <c r="D402" s="5"/>
      <c r="E402" s="5"/>
      <c r="F402" s="5"/>
      <c r="G402" s="5"/>
      <c r="H402" s="5"/>
      <c r="I402" s="5"/>
    </row>
    <row r="403" spans="2:9" x14ac:dyDescent="0.3">
      <c r="B403" s="4"/>
      <c r="C403" s="5"/>
      <c r="D403" s="5"/>
      <c r="E403" s="5"/>
      <c r="F403" s="5"/>
      <c r="G403" s="5"/>
      <c r="H403" s="5"/>
      <c r="I403" s="5"/>
    </row>
    <row r="404" spans="2:9" x14ac:dyDescent="0.3">
      <c r="B404" s="4"/>
      <c r="C404" s="5"/>
      <c r="D404" s="5"/>
      <c r="E404" s="5"/>
      <c r="F404" s="5"/>
      <c r="G404" s="5"/>
      <c r="H404" s="5"/>
      <c r="I404" s="5"/>
    </row>
    <row r="405" spans="2:9" x14ac:dyDescent="0.3">
      <c r="B405" s="4"/>
      <c r="C405" s="5"/>
      <c r="D405" s="5"/>
      <c r="E405" s="5"/>
      <c r="F405" s="5"/>
      <c r="G405" s="5"/>
      <c r="H405" s="5"/>
      <c r="I405" s="5"/>
    </row>
    <row r="406" spans="2:9" x14ac:dyDescent="0.3">
      <c r="B406" s="4"/>
      <c r="C406" s="5"/>
      <c r="D406" s="5"/>
      <c r="E406" s="5"/>
      <c r="F406" s="5"/>
      <c r="G406" s="5"/>
      <c r="H406" s="5"/>
      <c r="I406" s="5"/>
    </row>
    <row r="407" spans="2:9" x14ac:dyDescent="0.3">
      <c r="B407" s="4"/>
      <c r="C407" s="5"/>
      <c r="D407" s="5"/>
      <c r="E407" s="5"/>
      <c r="F407" s="5"/>
      <c r="G407" s="5"/>
      <c r="H407" s="5"/>
      <c r="I407" s="5"/>
    </row>
    <row r="408" spans="2:9" x14ac:dyDescent="0.3">
      <c r="B408" s="4"/>
      <c r="C408" s="5"/>
      <c r="D408" s="5"/>
      <c r="E408" s="5"/>
      <c r="F408" s="5"/>
      <c r="G408" s="5"/>
      <c r="H408" s="5"/>
      <c r="I408" s="5"/>
    </row>
    <row r="409" spans="2:9" x14ac:dyDescent="0.3">
      <c r="B409" s="4"/>
      <c r="C409" s="5"/>
      <c r="D409" s="5"/>
      <c r="E409" s="5"/>
      <c r="F409" s="5"/>
      <c r="G409" s="5"/>
      <c r="H409" s="5"/>
      <c r="I409" s="5"/>
    </row>
    <row r="410" spans="2:9" x14ac:dyDescent="0.3">
      <c r="B410" s="4"/>
      <c r="C410" s="5"/>
      <c r="D410" s="5"/>
      <c r="E410" s="5"/>
      <c r="F410" s="5"/>
      <c r="G410" s="5"/>
      <c r="H410" s="5"/>
      <c r="I410" s="5"/>
    </row>
    <row r="411" spans="2:9" x14ac:dyDescent="0.3">
      <c r="B411" s="4"/>
      <c r="C411" s="5"/>
      <c r="D411" s="5"/>
      <c r="E411" s="5"/>
      <c r="F411" s="5"/>
      <c r="G411" s="5"/>
      <c r="H411" s="5"/>
      <c r="I411" s="5"/>
    </row>
    <row r="412" spans="2:9" x14ac:dyDescent="0.3">
      <c r="B412" s="4"/>
      <c r="C412" s="5"/>
      <c r="D412" s="5"/>
      <c r="E412" s="5"/>
      <c r="F412" s="5"/>
      <c r="G412" s="5"/>
      <c r="H412" s="5"/>
      <c r="I412" s="5"/>
    </row>
    <row r="413" spans="2:9" x14ac:dyDescent="0.3">
      <c r="B413" s="4"/>
      <c r="C413" s="5"/>
      <c r="D413" s="5"/>
      <c r="E413" s="5"/>
      <c r="F413" s="5"/>
      <c r="G413" s="5"/>
      <c r="H413" s="5"/>
      <c r="I413" s="5"/>
    </row>
    <row r="414" spans="2:9" x14ac:dyDescent="0.3">
      <c r="B414" s="4"/>
      <c r="C414" s="5"/>
      <c r="D414" s="5"/>
      <c r="E414" s="5"/>
      <c r="F414" s="5"/>
      <c r="G414" s="5"/>
      <c r="H414" s="5"/>
      <c r="I414" s="5"/>
    </row>
    <row r="415" spans="2:9" x14ac:dyDescent="0.3">
      <c r="B415" s="4"/>
      <c r="C415" s="5"/>
      <c r="D415" s="5"/>
      <c r="E415" s="5"/>
      <c r="F415" s="5"/>
      <c r="G415" s="5"/>
      <c r="H415" s="5"/>
      <c r="I415" s="5"/>
    </row>
    <row r="416" spans="2:9" x14ac:dyDescent="0.3">
      <c r="B416" s="4"/>
      <c r="C416" s="5"/>
      <c r="D416" s="5"/>
      <c r="E416" s="5"/>
      <c r="F416" s="5"/>
      <c r="G416" s="5"/>
      <c r="H416" s="5"/>
      <c r="I416" s="5"/>
    </row>
    <row r="417" spans="2:9" x14ac:dyDescent="0.3">
      <c r="B417" s="4"/>
      <c r="C417" s="5"/>
      <c r="D417" s="5"/>
      <c r="E417" s="5"/>
      <c r="F417" s="5"/>
      <c r="G417" s="5"/>
      <c r="H417" s="5"/>
      <c r="I417" s="5"/>
    </row>
    <row r="418" spans="2:9" x14ac:dyDescent="0.3">
      <c r="B418" s="4"/>
      <c r="C418" s="5"/>
      <c r="D418" s="5"/>
      <c r="E418" s="5"/>
      <c r="F418" s="5"/>
      <c r="G418" s="5"/>
      <c r="H418" s="5"/>
      <c r="I418" s="5"/>
    </row>
    <row r="419" spans="2:9" x14ac:dyDescent="0.3">
      <c r="B419" s="4"/>
      <c r="C419" s="5"/>
      <c r="D419" s="5"/>
      <c r="E419" s="5"/>
      <c r="F419" s="5"/>
      <c r="G419" s="5"/>
      <c r="H419" s="5"/>
      <c r="I419" s="5"/>
    </row>
    <row r="420" spans="2:9" x14ac:dyDescent="0.3">
      <c r="B420" s="4"/>
      <c r="C420" s="5"/>
      <c r="D420" s="5"/>
      <c r="E420" s="5"/>
      <c r="F420" s="5"/>
      <c r="G420" s="5"/>
      <c r="H420" s="5"/>
      <c r="I420" s="5"/>
    </row>
    <row r="421" spans="2:9" x14ac:dyDescent="0.3">
      <c r="B421" s="4"/>
      <c r="C421" s="5"/>
      <c r="D421" s="5"/>
      <c r="E421" s="5"/>
      <c r="F421" s="5"/>
      <c r="G421" s="5"/>
      <c r="H421" s="5"/>
      <c r="I421" s="5"/>
    </row>
    <row r="422" spans="2:9" x14ac:dyDescent="0.3">
      <c r="B422" s="4"/>
      <c r="C422" s="5"/>
      <c r="D422" s="5"/>
      <c r="E422" s="5"/>
      <c r="F422" s="5"/>
      <c r="G422" s="5"/>
      <c r="H422" s="5"/>
      <c r="I422" s="5"/>
    </row>
    <row r="423" spans="2:9" x14ac:dyDescent="0.3">
      <c r="B423" s="4"/>
      <c r="C423" s="5"/>
      <c r="D423" s="5"/>
      <c r="E423" s="5"/>
      <c r="F423" s="5"/>
      <c r="G423" s="5"/>
      <c r="H423" s="5"/>
      <c r="I423" s="5"/>
    </row>
    <row r="424" spans="2:9" x14ac:dyDescent="0.3">
      <c r="B424" s="4"/>
      <c r="C424" s="5"/>
      <c r="D424" s="5"/>
      <c r="E424" s="5"/>
      <c r="F424" s="5"/>
      <c r="G424" s="5"/>
      <c r="H424" s="5"/>
      <c r="I424" s="5"/>
    </row>
    <row r="425" spans="2:9" x14ac:dyDescent="0.3">
      <c r="B425" s="4"/>
      <c r="C425" s="5"/>
      <c r="D425" s="5"/>
      <c r="E425" s="5"/>
      <c r="F425" s="5"/>
      <c r="G425" s="5"/>
      <c r="H425" s="5"/>
      <c r="I425" s="5"/>
    </row>
    <row r="426" spans="2:9" x14ac:dyDescent="0.3">
      <c r="B426" s="4"/>
      <c r="C426" s="5"/>
      <c r="D426" s="5"/>
      <c r="E426" s="5"/>
      <c r="F426" s="5"/>
      <c r="G426" s="5"/>
      <c r="H426" s="5"/>
      <c r="I426" s="5"/>
    </row>
    <row r="427" spans="2:9" x14ac:dyDescent="0.3">
      <c r="B427" s="4"/>
      <c r="C427" s="5"/>
      <c r="D427" s="5"/>
      <c r="E427" s="5"/>
      <c r="F427" s="5"/>
      <c r="G427" s="5"/>
      <c r="H427" s="5"/>
      <c r="I427" s="5"/>
    </row>
    <row r="428" spans="2:9" x14ac:dyDescent="0.3">
      <c r="B428" s="4"/>
      <c r="C428" s="5"/>
      <c r="D428" s="5"/>
      <c r="E428" s="5"/>
      <c r="F428" s="5"/>
      <c r="G428" s="5"/>
      <c r="H428" s="5"/>
      <c r="I428" s="5"/>
    </row>
    <row r="429" spans="2:9" x14ac:dyDescent="0.3">
      <c r="B429" s="4"/>
      <c r="C429" s="5"/>
      <c r="D429" s="5"/>
      <c r="E429" s="5"/>
      <c r="F429" s="5"/>
      <c r="G429" s="5"/>
      <c r="H429" s="5"/>
      <c r="I429" s="5"/>
    </row>
    <row r="430" spans="2:9" x14ac:dyDescent="0.3">
      <c r="B430" s="4"/>
      <c r="C430" s="5"/>
      <c r="D430" s="5"/>
      <c r="E430" s="5"/>
      <c r="F430" s="5"/>
      <c r="G430" s="5"/>
      <c r="H430" s="5"/>
      <c r="I430" s="5"/>
    </row>
    <row r="431" spans="2:9" x14ac:dyDescent="0.3">
      <c r="B431" s="4"/>
      <c r="C431" s="5"/>
      <c r="D431" s="5"/>
      <c r="E431" s="5"/>
      <c r="F431" s="5"/>
      <c r="G431" s="5"/>
      <c r="H431" s="5"/>
      <c r="I431" s="5"/>
    </row>
    <row r="432" spans="2:9" x14ac:dyDescent="0.3">
      <c r="B432" s="4"/>
      <c r="C432" s="5"/>
      <c r="D432" s="5"/>
      <c r="E432" s="5"/>
      <c r="F432" s="5"/>
      <c r="G432" s="5"/>
      <c r="H432" s="5"/>
      <c r="I432" s="5"/>
    </row>
    <row r="433" spans="2:9" x14ac:dyDescent="0.3">
      <c r="B433" s="4"/>
      <c r="C433" s="5"/>
      <c r="D433" s="5"/>
      <c r="E433" s="5"/>
      <c r="F433" s="5"/>
      <c r="G433" s="5"/>
      <c r="H433" s="5"/>
      <c r="I433" s="5"/>
    </row>
    <row r="434" spans="2:9" x14ac:dyDescent="0.3">
      <c r="B434" s="4"/>
      <c r="C434" s="5"/>
      <c r="D434" s="5"/>
      <c r="E434" s="5"/>
      <c r="F434" s="5"/>
      <c r="G434" s="5"/>
      <c r="H434" s="5"/>
      <c r="I434" s="5"/>
    </row>
    <row r="435" spans="2:9" x14ac:dyDescent="0.3">
      <c r="B435" s="4"/>
      <c r="C435" s="5"/>
      <c r="D435" s="5"/>
      <c r="E435" s="5"/>
      <c r="F435" s="5"/>
      <c r="G435" s="5"/>
      <c r="H435" s="5"/>
      <c r="I435" s="5"/>
    </row>
    <row r="436" spans="2:9" x14ac:dyDescent="0.3">
      <c r="B436" s="4"/>
      <c r="C436" s="5"/>
      <c r="D436" s="5"/>
      <c r="E436" s="5"/>
      <c r="F436" s="5"/>
      <c r="G436" s="5"/>
      <c r="H436" s="5"/>
      <c r="I436" s="5"/>
    </row>
    <row r="437" spans="2:9" x14ac:dyDescent="0.3">
      <c r="B437" s="4"/>
      <c r="C437" s="5"/>
      <c r="D437" s="5"/>
      <c r="E437" s="5"/>
      <c r="F437" s="5"/>
      <c r="G437" s="5"/>
      <c r="H437" s="5"/>
      <c r="I437" s="5"/>
    </row>
    <row r="438" spans="2:9" x14ac:dyDescent="0.3">
      <c r="B438" s="4"/>
      <c r="C438" s="5"/>
      <c r="D438" s="5"/>
      <c r="E438" s="5"/>
      <c r="F438" s="5"/>
      <c r="G438" s="5"/>
      <c r="H438" s="5"/>
      <c r="I438" s="5"/>
    </row>
    <row r="439" spans="2:9" x14ac:dyDescent="0.3">
      <c r="B439" s="4"/>
      <c r="C439" s="5"/>
      <c r="D439" s="5"/>
      <c r="E439" s="5"/>
      <c r="F439" s="5"/>
      <c r="G439" s="5"/>
      <c r="H439" s="5"/>
      <c r="I439" s="5"/>
    </row>
    <row r="440" spans="2:9" x14ac:dyDescent="0.3">
      <c r="B440" s="4"/>
      <c r="C440" s="5"/>
      <c r="D440" s="5"/>
      <c r="E440" s="5"/>
      <c r="F440" s="5"/>
      <c r="G440" s="5"/>
      <c r="H440" s="5"/>
      <c r="I440" s="5"/>
    </row>
    <row r="441" spans="2:9" x14ac:dyDescent="0.3">
      <c r="B441" s="4"/>
      <c r="C441" s="5"/>
      <c r="D441" s="5"/>
      <c r="E441" s="5"/>
      <c r="F441" s="5"/>
      <c r="G441" s="5"/>
      <c r="H441" s="5"/>
      <c r="I441" s="5"/>
    </row>
    <row r="442" spans="2:9" x14ac:dyDescent="0.3">
      <c r="B442" s="4"/>
      <c r="C442" s="5"/>
      <c r="D442" s="5"/>
      <c r="E442" s="5"/>
      <c r="F442" s="5"/>
      <c r="G442" s="5"/>
      <c r="H442" s="5"/>
      <c r="I442" s="5"/>
    </row>
    <row r="443" spans="2:9" x14ac:dyDescent="0.3">
      <c r="B443" s="4"/>
      <c r="C443" s="5"/>
      <c r="D443" s="5"/>
      <c r="E443" s="5"/>
      <c r="F443" s="5"/>
      <c r="G443" s="5"/>
      <c r="H443" s="5"/>
      <c r="I443" s="5"/>
    </row>
    <row r="444" spans="2:9" x14ac:dyDescent="0.3">
      <c r="B444" s="4"/>
      <c r="C444" s="5"/>
      <c r="D444" s="5"/>
      <c r="E444" s="5"/>
      <c r="F444" s="5"/>
      <c r="G444" s="5"/>
      <c r="H444" s="5"/>
      <c r="I444" s="5"/>
    </row>
    <row r="445" spans="2:9" x14ac:dyDescent="0.3">
      <c r="B445" s="4"/>
      <c r="C445" s="5"/>
      <c r="D445" s="5"/>
      <c r="E445" s="5"/>
      <c r="F445" s="5"/>
      <c r="G445" s="5"/>
      <c r="H445" s="5"/>
      <c r="I445" s="5"/>
    </row>
    <row r="446" spans="2:9" x14ac:dyDescent="0.3">
      <c r="B446" s="4"/>
      <c r="C446" s="5"/>
      <c r="D446" s="5"/>
      <c r="E446" s="5"/>
      <c r="F446" s="5"/>
      <c r="G446" s="5"/>
      <c r="H446" s="5"/>
      <c r="I446" s="5"/>
    </row>
    <row r="447" spans="2:9" x14ac:dyDescent="0.3">
      <c r="B447" s="4"/>
      <c r="C447" s="5"/>
      <c r="D447" s="5"/>
      <c r="E447" s="5"/>
      <c r="F447" s="5"/>
      <c r="G447" s="5"/>
      <c r="H447" s="5"/>
      <c r="I447" s="5"/>
    </row>
    <row r="448" spans="2:9" x14ac:dyDescent="0.3">
      <c r="B448" s="4"/>
      <c r="C448" s="5"/>
      <c r="D448" s="5"/>
      <c r="E448" s="5"/>
      <c r="F448" s="5"/>
      <c r="G448" s="5"/>
      <c r="H448" s="5"/>
      <c r="I448" s="5"/>
    </row>
    <row r="449" spans="2:9" x14ac:dyDescent="0.3">
      <c r="B449" s="4"/>
      <c r="C449" s="5"/>
      <c r="D449" s="5"/>
      <c r="E449" s="5"/>
      <c r="F449" s="5"/>
      <c r="G449" s="5"/>
      <c r="H449" s="5"/>
      <c r="I449" s="5"/>
    </row>
    <row r="450" spans="2:9" x14ac:dyDescent="0.3">
      <c r="B450" s="4"/>
      <c r="C450" s="5"/>
      <c r="D450" s="5"/>
      <c r="E450" s="5"/>
      <c r="F450" s="5"/>
      <c r="G450" s="5"/>
      <c r="H450" s="5"/>
      <c r="I450" s="5"/>
    </row>
    <row r="451" spans="2:9" x14ac:dyDescent="0.3">
      <c r="B451" s="4"/>
      <c r="C451" s="5"/>
      <c r="D451" s="5"/>
      <c r="E451" s="5"/>
      <c r="F451" s="5"/>
      <c r="G451" s="5"/>
      <c r="H451" s="5"/>
      <c r="I451" s="5"/>
    </row>
    <row r="452" spans="2:9" x14ac:dyDescent="0.3">
      <c r="B452" s="4"/>
      <c r="C452" s="5"/>
      <c r="D452" s="5"/>
      <c r="E452" s="5"/>
      <c r="F452" s="5"/>
      <c r="G452" s="5"/>
      <c r="H452" s="5"/>
      <c r="I452" s="5"/>
    </row>
    <row r="453" spans="2:9" x14ac:dyDescent="0.3">
      <c r="B453" s="4"/>
      <c r="C453" s="5"/>
      <c r="D453" s="5"/>
      <c r="E453" s="5"/>
      <c r="F453" s="5"/>
      <c r="G453" s="5"/>
      <c r="H453" s="5"/>
      <c r="I453" s="5"/>
    </row>
    <row r="454" spans="2:9" x14ac:dyDescent="0.3">
      <c r="B454" s="4"/>
      <c r="C454" s="5"/>
      <c r="D454" s="5"/>
      <c r="E454" s="5"/>
      <c r="F454" s="5"/>
      <c r="G454" s="5"/>
      <c r="H454" s="5"/>
      <c r="I454" s="5"/>
    </row>
    <row r="455" spans="2:9" x14ac:dyDescent="0.3">
      <c r="B455" s="4"/>
      <c r="C455" s="5"/>
      <c r="D455" s="5"/>
      <c r="E455" s="5"/>
      <c r="F455" s="5"/>
      <c r="G455" s="5"/>
      <c r="H455" s="5"/>
      <c r="I455" s="5"/>
    </row>
    <row r="456" spans="2:9" x14ac:dyDescent="0.3">
      <c r="B456" s="4"/>
      <c r="C456" s="5"/>
      <c r="D456" s="5"/>
      <c r="E456" s="5"/>
      <c r="F456" s="5"/>
      <c r="G456" s="5"/>
      <c r="H456" s="5"/>
      <c r="I456" s="5"/>
    </row>
    <row r="457" spans="2:9" x14ac:dyDescent="0.3">
      <c r="B457" s="4"/>
      <c r="C457" s="5"/>
      <c r="D457" s="5"/>
      <c r="E457" s="5"/>
      <c r="F457" s="5"/>
      <c r="G457" s="5"/>
      <c r="H457" s="5"/>
      <c r="I457" s="5"/>
    </row>
    <row r="458" spans="2:9" x14ac:dyDescent="0.3">
      <c r="B458" s="4"/>
      <c r="C458" s="5"/>
      <c r="D458" s="5"/>
      <c r="E458" s="5"/>
      <c r="F458" s="5"/>
      <c r="G458" s="5"/>
      <c r="H458" s="5"/>
      <c r="I458" s="5"/>
    </row>
    <row r="459" spans="2:9" x14ac:dyDescent="0.3">
      <c r="B459" s="4"/>
      <c r="C459" s="5"/>
      <c r="D459" s="5"/>
      <c r="E459" s="5"/>
      <c r="F459" s="5"/>
      <c r="G459" s="5"/>
      <c r="H459" s="5"/>
      <c r="I459" s="5"/>
    </row>
    <row r="460" spans="2:9" x14ac:dyDescent="0.3">
      <c r="B460" s="4"/>
      <c r="C460" s="5"/>
      <c r="D460" s="5"/>
      <c r="E460" s="5"/>
      <c r="F460" s="5"/>
      <c r="G460" s="5"/>
      <c r="H460" s="5"/>
      <c r="I460" s="5"/>
    </row>
    <row r="461" spans="2:9" x14ac:dyDescent="0.3">
      <c r="B461" s="4"/>
      <c r="C461" s="5"/>
      <c r="D461" s="5"/>
      <c r="E461" s="5"/>
      <c r="F461" s="5"/>
      <c r="G461" s="5"/>
      <c r="H461" s="5"/>
      <c r="I461" s="5"/>
    </row>
    <row r="462" spans="2:9" x14ac:dyDescent="0.3">
      <c r="B462" s="4"/>
      <c r="C462" s="5"/>
      <c r="D462" s="5"/>
      <c r="E462" s="5"/>
      <c r="F462" s="5"/>
      <c r="G462" s="5"/>
      <c r="H462" s="5"/>
      <c r="I462" s="5"/>
    </row>
    <row r="463" spans="2:9" x14ac:dyDescent="0.3">
      <c r="B463" s="4"/>
      <c r="C463" s="5"/>
      <c r="D463" s="5"/>
      <c r="E463" s="5"/>
      <c r="F463" s="5"/>
      <c r="G463" s="5"/>
      <c r="H463" s="5"/>
      <c r="I463" s="5"/>
    </row>
    <row r="464" spans="2:9" x14ac:dyDescent="0.3">
      <c r="B464" s="4"/>
      <c r="C464" s="5"/>
      <c r="D464" s="5"/>
      <c r="E464" s="5"/>
      <c r="F464" s="5"/>
      <c r="G464" s="5"/>
      <c r="H464" s="5"/>
      <c r="I464" s="5"/>
    </row>
    <row r="465" spans="2:9" x14ac:dyDescent="0.3">
      <c r="B465" s="4"/>
      <c r="C465" s="5"/>
      <c r="D465" s="5"/>
      <c r="E465" s="5"/>
      <c r="F465" s="5"/>
      <c r="G465" s="5"/>
      <c r="H465" s="5"/>
      <c r="I465" s="5"/>
    </row>
    <row r="466" spans="2:9" x14ac:dyDescent="0.3">
      <c r="B466" s="4"/>
      <c r="C466" s="5"/>
      <c r="D466" s="5"/>
      <c r="E466" s="5"/>
      <c r="F466" s="5"/>
      <c r="G466" s="5"/>
      <c r="H466" s="5"/>
      <c r="I466" s="5"/>
    </row>
    <row r="467" spans="2:9" x14ac:dyDescent="0.3">
      <c r="B467" s="4"/>
      <c r="C467" s="5"/>
      <c r="D467" s="5"/>
      <c r="E467" s="5"/>
      <c r="F467" s="5"/>
      <c r="G467" s="5"/>
      <c r="H467" s="5"/>
      <c r="I467" s="5"/>
    </row>
    <row r="468" spans="2:9" x14ac:dyDescent="0.3">
      <c r="B468" s="4"/>
      <c r="C468" s="5"/>
      <c r="D468" s="5"/>
      <c r="E468" s="5"/>
      <c r="F468" s="5"/>
      <c r="G468" s="5"/>
      <c r="H468" s="5"/>
      <c r="I468" s="5"/>
    </row>
    <row r="469" spans="2:9" x14ac:dyDescent="0.3">
      <c r="B469" s="4"/>
      <c r="C469" s="5"/>
      <c r="D469" s="5"/>
      <c r="E469" s="5"/>
      <c r="F469" s="5"/>
      <c r="G469" s="5"/>
      <c r="H469" s="5"/>
      <c r="I469" s="5"/>
    </row>
    <row r="470" spans="2:9" x14ac:dyDescent="0.3">
      <c r="B470" s="4"/>
      <c r="C470" s="5"/>
      <c r="D470" s="5"/>
      <c r="E470" s="5"/>
      <c r="F470" s="5"/>
      <c r="G470" s="5"/>
      <c r="H470" s="5"/>
      <c r="I470" s="5"/>
    </row>
    <row r="471" spans="2:9" x14ac:dyDescent="0.3">
      <c r="B471" s="4"/>
      <c r="C471" s="5"/>
      <c r="D471" s="5"/>
      <c r="E471" s="5"/>
      <c r="F471" s="5"/>
      <c r="G471" s="5"/>
      <c r="H471" s="5"/>
      <c r="I471" s="5"/>
    </row>
    <row r="472" spans="2:9" x14ac:dyDescent="0.3">
      <c r="B472" s="4"/>
      <c r="C472" s="5"/>
      <c r="D472" s="5"/>
      <c r="E472" s="5"/>
      <c r="F472" s="5"/>
      <c r="G472" s="5"/>
      <c r="H472" s="5"/>
      <c r="I472" s="5"/>
    </row>
    <row r="473" spans="2:9" x14ac:dyDescent="0.3">
      <c r="B473" s="4"/>
      <c r="C473" s="5"/>
      <c r="D473" s="5"/>
      <c r="E473" s="5"/>
      <c r="F473" s="5"/>
      <c r="G473" s="5"/>
      <c r="H473" s="5"/>
      <c r="I473" s="5"/>
    </row>
    <row r="474" spans="2:9" x14ac:dyDescent="0.3">
      <c r="B474" s="4"/>
      <c r="C474" s="5"/>
      <c r="D474" s="5"/>
      <c r="E474" s="5"/>
      <c r="F474" s="5"/>
      <c r="G474" s="5"/>
      <c r="H474" s="5"/>
      <c r="I474" s="5"/>
    </row>
    <row r="475" spans="2:9" x14ac:dyDescent="0.3">
      <c r="B475" s="4"/>
      <c r="C475" s="5"/>
      <c r="D475" s="5"/>
      <c r="E475" s="5"/>
      <c r="F475" s="5"/>
      <c r="G475" s="5"/>
      <c r="H475" s="5"/>
      <c r="I475" s="5"/>
    </row>
    <row r="476" spans="2:9" x14ac:dyDescent="0.3">
      <c r="B476" s="4"/>
      <c r="C476" s="5"/>
      <c r="D476" s="5"/>
      <c r="E476" s="5"/>
      <c r="F476" s="5"/>
      <c r="G476" s="5"/>
      <c r="H476" s="5"/>
      <c r="I476" s="5"/>
    </row>
    <row r="477" spans="2:9" x14ac:dyDescent="0.3">
      <c r="B477" s="4"/>
      <c r="C477" s="5"/>
      <c r="D477" s="5"/>
      <c r="E477" s="5"/>
      <c r="F477" s="5"/>
      <c r="G477" s="5"/>
      <c r="H477" s="5"/>
      <c r="I477" s="5"/>
    </row>
    <row r="478" spans="2:9" x14ac:dyDescent="0.3">
      <c r="B478" s="4"/>
      <c r="C478" s="5"/>
      <c r="D478" s="5"/>
      <c r="E478" s="5"/>
      <c r="F478" s="5"/>
      <c r="G478" s="5"/>
      <c r="H478" s="5"/>
      <c r="I478" s="5"/>
    </row>
    <row r="479" spans="2:9" x14ac:dyDescent="0.3">
      <c r="B479" s="4"/>
      <c r="C479" s="5"/>
      <c r="D479" s="5"/>
      <c r="E479" s="5"/>
      <c r="F479" s="5"/>
      <c r="G479" s="5"/>
      <c r="H479" s="5"/>
      <c r="I479" s="5"/>
    </row>
    <row r="480" spans="2:9" x14ac:dyDescent="0.3">
      <c r="B480" s="4"/>
      <c r="C480" s="5"/>
      <c r="D480" s="5"/>
      <c r="E480" s="5"/>
      <c r="F480" s="5"/>
      <c r="G480" s="5"/>
      <c r="H480" s="5"/>
      <c r="I480" s="5"/>
    </row>
    <row r="481" spans="2:9" x14ac:dyDescent="0.3">
      <c r="B481" s="4"/>
      <c r="C481" s="5"/>
      <c r="D481" s="5"/>
      <c r="E481" s="5"/>
      <c r="F481" s="5"/>
      <c r="G481" s="5"/>
      <c r="H481" s="5"/>
      <c r="I481" s="5"/>
    </row>
    <row r="482" spans="2:9" x14ac:dyDescent="0.3">
      <c r="B482" s="4"/>
      <c r="C482" s="5"/>
      <c r="D482" s="5"/>
      <c r="E482" s="5"/>
      <c r="F482" s="5"/>
      <c r="G482" s="5"/>
      <c r="H482" s="5"/>
      <c r="I482" s="5"/>
    </row>
    <row r="483" spans="2:9" x14ac:dyDescent="0.3">
      <c r="B483" s="4"/>
      <c r="C483" s="5"/>
      <c r="D483" s="5"/>
      <c r="E483" s="5"/>
      <c r="F483" s="5"/>
      <c r="G483" s="5"/>
      <c r="H483" s="5"/>
      <c r="I483" s="5"/>
    </row>
    <row r="484" spans="2:9" x14ac:dyDescent="0.3">
      <c r="B484" s="4"/>
      <c r="C484" s="5"/>
      <c r="D484" s="5"/>
      <c r="E484" s="5"/>
      <c r="F484" s="5"/>
      <c r="G484" s="5"/>
      <c r="H484" s="5"/>
      <c r="I484" s="5"/>
    </row>
    <row r="485" spans="2:9" x14ac:dyDescent="0.3">
      <c r="B485" s="4"/>
      <c r="C485" s="5"/>
      <c r="D485" s="5"/>
      <c r="E485" s="5"/>
      <c r="F485" s="5"/>
      <c r="G485" s="5"/>
      <c r="H485" s="5"/>
      <c r="I485" s="5"/>
    </row>
    <row r="486" spans="2:9" x14ac:dyDescent="0.3">
      <c r="B486" s="4"/>
      <c r="C486" s="5"/>
      <c r="D486" s="5"/>
      <c r="E486" s="5"/>
      <c r="F486" s="5"/>
      <c r="G486" s="5"/>
      <c r="H486" s="5"/>
      <c r="I486" s="5"/>
    </row>
    <row r="487" spans="2:9" x14ac:dyDescent="0.3">
      <c r="B487" s="4"/>
      <c r="C487" s="5"/>
      <c r="D487" s="5"/>
      <c r="E487" s="5"/>
      <c r="F487" s="5"/>
      <c r="G487" s="5"/>
      <c r="H487" s="5"/>
      <c r="I487" s="5"/>
    </row>
    <row r="488" spans="2:9" x14ac:dyDescent="0.3">
      <c r="B488" s="4"/>
      <c r="C488" s="5"/>
      <c r="D488" s="5"/>
      <c r="E488" s="5"/>
      <c r="F488" s="5"/>
      <c r="G488" s="5"/>
      <c r="H488" s="5"/>
      <c r="I488" s="5"/>
    </row>
    <row r="489" spans="2:9" x14ac:dyDescent="0.3">
      <c r="B489" s="4"/>
      <c r="C489" s="5"/>
      <c r="D489" s="5"/>
      <c r="E489" s="5"/>
      <c r="F489" s="5"/>
      <c r="G489" s="5"/>
      <c r="H489" s="5"/>
      <c r="I489" s="5"/>
    </row>
    <row r="490" spans="2:9" x14ac:dyDescent="0.3">
      <c r="B490" s="4"/>
      <c r="C490" s="5"/>
      <c r="D490" s="5"/>
      <c r="E490" s="5"/>
      <c r="F490" s="5"/>
      <c r="G490" s="5"/>
      <c r="H490" s="5"/>
      <c r="I490" s="5"/>
    </row>
    <row r="491" spans="2:9" x14ac:dyDescent="0.3">
      <c r="B491" s="4"/>
      <c r="C491" s="5"/>
      <c r="D491" s="5"/>
      <c r="E491" s="5"/>
      <c r="F491" s="5"/>
      <c r="G491" s="5"/>
      <c r="H491" s="5"/>
      <c r="I491" s="5"/>
    </row>
    <row r="492" spans="2:9" x14ac:dyDescent="0.3">
      <c r="B492" s="4"/>
      <c r="C492" s="5"/>
      <c r="D492" s="5"/>
      <c r="E492" s="5"/>
      <c r="F492" s="5"/>
      <c r="G492" s="5"/>
      <c r="H492" s="5"/>
      <c r="I492" s="5"/>
    </row>
    <row r="493" spans="2:9" x14ac:dyDescent="0.3">
      <c r="B493" s="4"/>
      <c r="C493" s="5"/>
      <c r="D493" s="5"/>
      <c r="E493" s="5"/>
      <c r="F493" s="5"/>
      <c r="G493" s="5"/>
      <c r="H493" s="5"/>
      <c r="I493" s="5"/>
    </row>
    <row r="494" spans="2:9" x14ac:dyDescent="0.3">
      <c r="B494" s="4"/>
      <c r="C494" s="5"/>
      <c r="D494" s="5"/>
      <c r="E494" s="5"/>
      <c r="F494" s="5"/>
      <c r="G494" s="5"/>
      <c r="H494" s="5"/>
      <c r="I494" s="5"/>
    </row>
    <row r="495" spans="2:9" x14ac:dyDescent="0.3">
      <c r="B495" s="4"/>
      <c r="C495" s="5"/>
      <c r="D495" s="5"/>
      <c r="E495" s="5"/>
      <c r="F495" s="5"/>
      <c r="G495" s="5"/>
      <c r="H495" s="5"/>
      <c r="I495" s="5"/>
    </row>
    <row r="496" spans="2:9" x14ac:dyDescent="0.3">
      <c r="B496" s="4"/>
      <c r="C496" s="5"/>
      <c r="D496" s="5"/>
      <c r="E496" s="5"/>
      <c r="F496" s="5"/>
      <c r="G496" s="5"/>
      <c r="H496" s="5"/>
      <c r="I496" s="5"/>
    </row>
    <row r="497" spans="2:9" x14ac:dyDescent="0.3">
      <c r="B497" s="4"/>
      <c r="C497" s="5"/>
      <c r="D497" s="5"/>
      <c r="E497" s="5"/>
      <c r="F497" s="5"/>
      <c r="G497" s="5"/>
      <c r="H497" s="5"/>
      <c r="I497" s="5"/>
    </row>
    <row r="498" spans="2:9" x14ac:dyDescent="0.3">
      <c r="B498" s="4"/>
      <c r="C498" s="5"/>
      <c r="D498" s="5"/>
      <c r="E498" s="5"/>
      <c r="F498" s="5"/>
      <c r="G498" s="5"/>
      <c r="H498" s="5"/>
      <c r="I498" s="5"/>
    </row>
    <row r="499" spans="2:9" x14ac:dyDescent="0.3">
      <c r="B499" s="4"/>
      <c r="C499" s="5"/>
      <c r="D499" s="5"/>
      <c r="E499" s="5"/>
      <c r="F499" s="5"/>
      <c r="G499" s="5"/>
      <c r="H499" s="5"/>
      <c r="I499" s="5"/>
    </row>
    <row r="500" spans="2:9" x14ac:dyDescent="0.3">
      <c r="B500" s="4"/>
      <c r="C500" s="5"/>
      <c r="D500" s="5"/>
      <c r="E500" s="5"/>
      <c r="F500" s="5"/>
      <c r="G500" s="5"/>
      <c r="H500" s="5"/>
      <c r="I500" s="5"/>
    </row>
    <row r="501" spans="2:9" x14ac:dyDescent="0.3">
      <c r="B501" s="4"/>
      <c r="C501" s="5"/>
      <c r="D501" s="5"/>
      <c r="E501" s="5"/>
      <c r="F501" s="5"/>
      <c r="G501" s="5"/>
      <c r="H501" s="5"/>
      <c r="I501" s="5"/>
    </row>
    <row r="502" spans="2:9" x14ac:dyDescent="0.3">
      <c r="B502" s="4"/>
      <c r="C502" s="5"/>
      <c r="D502" s="5"/>
      <c r="E502" s="5"/>
      <c r="F502" s="5"/>
      <c r="G502" s="5"/>
      <c r="H502" s="5"/>
      <c r="I502" s="5"/>
    </row>
    <row r="503" spans="2:9" x14ac:dyDescent="0.3">
      <c r="B503" s="4"/>
      <c r="C503" s="5"/>
      <c r="D503" s="5"/>
      <c r="E503" s="5"/>
      <c r="F503" s="5"/>
      <c r="G503" s="5"/>
      <c r="H503" s="5"/>
      <c r="I503" s="5"/>
    </row>
    <row r="504" spans="2:9" x14ac:dyDescent="0.3">
      <c r="B504" s="4"/>
      <c r="C504" s="5"/>
      <c r="D504" s="5"/>
      <c r="E504" s="5"/>
      <c r="F504" s="5"/>
      <c r="G504" s="5"/>
      <c r="H504" s="5"/>
      <c r="I504" s="5"/>
    </row>
    <row r="505" spans="2:9" x14ac:dyDescent="0.3">
      <c r="B505" s="4"/>
      <c r="C505" s="5"/>
      <c r="D505" s="5"/>
      <c r="E505" s="5"/>
      <c r="F505" s="5"/>
      <c r="G505" s="5"/>
      <c r="H505" s="5"/>
      <c r="I505" s="5"/>
    </row>
    <row r="506" spans="2:9" x14ac:dyDescent="0.3">
      <c r="B506" s="4"/>
      <c r="C506" s="5"/>
      <c r="D506" s="5"/>
      <c r="E506" s="5"/>
      <c r="F506" s="5"/>
      <c r="G506" s="5"/>
      <c r="H506" s="5"/>
      <c r="I506" s="5"/>
    </row>
    <row r="507" spans="2:9" x14ac:dyDescent="0.3">
      <c r="B507" s="4"/>
      <c r="C507" s="5"/>
      <c r="D507" s="5"/>
      <c r="E507" s="5"/>
      <c r="F507" s="5"/>
      <c r="G507" s="5"/>
      <c r="H507" s="5"/>
      <c r="I507" s="5"/>
    </row>
    <row r="508" spans="2:9" x14ac:dyDescent="0.3">
      <c r="B508" s="4"/>
      <c r="C508" s="5"/>
      <c r="D508" s="5"/>
      <c r="E508" s="5"/>
      <c r="F508" s="5"/>
      <c r="G508" s="5"/>
      <c r="H508" s="5"/>
      <c r="I508" s="5"/>
    </row>
    <row r="509" spans="2:9" x14ac:dyDescent="0.3">
      <c r="B509" s="4"/>
      <c r="C509" s="5"/>
      <c r="D509" s="5"/>
      <c r="E509" s="5"/>
      <c r="F509" s="5"/>
      <c r="G509" s="5"/>
      <c r="H509" s="5"/>
      <c r="I509" s="5"/>
    </row>
    <row r="510" spans="2:9" x14ac:dyDescent="0.3">
      <c r="B510" s="4"/>
      <c r="C510" s="5"/>
      <c r="D510" s="5"/>
      <c r="E510" s="5"/>
      <c r="F510" s="5"/>
      <c r="G510" s="5"/>
      <c r="H510" s="5"/>
      <c r="I510" s="5"/>
    </row>
    <row r="511" spans="2:9" x14ac:dyDescent="0.3">
      <c r="B511" s="4"/>
      <c r="C511" s="5"/>
      <c r="D511" s="5"/>
      <c r="E511" s="5"/>
      <c r="F511" s="5"/>
      <c r="G511" s="5"/>
      <c r="H511" s="5"/>
      <c r="I511" s="5"/>
    </row>
    <row r="512" spans="2:9" x14ac:dyDescent="0.3">
      <c r="B512" s="4"/>
      <c r="C512" s="5"/>
      <c r="D512" s="5"/>
      <c r="E512" s="5"/>
      <c r="F512" s="5"/>
      <c r="G512" s="5"/>
      <c r="H512" s="5"/>
      <c r="I512" s="5"/>
    </row>
    <row r="513" spans="2:9" x14ac:dyDescent="0.3">
      <c r="B513" s="4"/>
      <c r="C513" s="5"/>
      <c r="D513" s="5"/>
      <c r="E513" s="5"/>
      <c r="F513" s="5"/>
      <c r="G513" s="5"/>
      <c r="H513" s="5"/>
      <c r="I513" s="5"/>
    </row>
    <row r="514" spans="2:9" x14ac:dyDescent="0.3">
      <c r="B514" s="4"/>
      <c r="C514" s="5"/>
      <c r="D514" s="5"/>
      <c r="E514" s="5"/>
      <c r="F514" s="5"/>
      <c r="G514" s="5"/>
      <c r="H514" s="5"/>
      <c r="I514" s="5"/>
    </row>
    <row r="515" spans="2:9" x14ac:dyDescent="0.3">
      <c r="B515" s="4"/>
      <c r="C515" s="5"/>
      <c r="D515" s="5"/>
      <c r="E515" s="5"/>
      <c r="F515" s="5"/>
      <c r="G515" s="5"/>
      <c r="H515" s="5"/>
      <c r="I515" s="5"/>
    </row>
    <row r="516" spans="2:9" x14ac:dyDescent="0.3">
      <c r="B516" s="4"/>
      <c r="C516" s="5"/>
      <c r="D516" s="5"/>
      <c r="E516" s="5"/>
      <c r="F516" s="5"/>
      <c r="G516" s="5"/>
      <c r="H516" s="5"/>
      <c r="I516" s="5"/>
    </row>
    <row r="517" spans="2:9" x14ac:dyDescent="0.3">
      <c r="B517" s="4"/>
      <c r="C517" s="5"/>
      <c r="D517" s="5"/>
      <c r="E517" s="5"/>
      <c r="F517" s="5"/>
      <c r="G517" s="5"/>
      <c r="H517" s="5"/>
      <c r="I517" s="5"/>
    </row>
    <row r="518" spans="2:9" x14ac:dyDescent="0.3">
      <c r="B518" s="4"/>
      <c r="C518" s="5"/>
      <c r="D518" s="5"/>
      <c r="E518" s="5"/>
      <c r="F518" s="5"/>
      <c r="G518" s="5"/>
      <c r="H518" s="5"/>
      <c r="I518" s="5"/>
    </row>
    <row r="519" spans="2:9" x14ac:dyDescent="0.3">
      <c r="B519" s="4"/>
      <c r="C519" s="5"/>
      <c r="D519" s="5"/>
      <c r="E519" s="5"/>
      <c r="F519" s="5"/>
      <c r="G519" s="5"/>
      <c r="H519" s="5"/>
      <c r="I519" s="5"/>
    </row>
    <row r="520" spans="2:9" x14ac:dyDescent="0.3">
      <c r="B520" s="4"/>
      <c r="C520" s="5"/>
      <c r="D520" s="5"/>
      <c r="E520" s="5"/>
      <c r="F520" s="5"/>
      <c r="G520" s="5"/>
      <c r="H520" s="5"/>
      <c r="I520" s="5"/>
    </row>
    <row r="521" spans="2:9" x14ac:dyDescent="0.3">
      <c r="B521" s="4"/>
      <c r="C521" s="5"/>
      <c r="D521" s="5"/>
      <c r="E521" s="5"/>
      <c r="F521" s="5"/>
      <c r="G521" s="5"/>
      <c r="H521" s="5"/>
      <c r="I521" s="5"/>
    </row>
    <row r="522" spans="2:9" x14ac:dyDescent="0.3">
      <c r="B522" s="4"/>
      <c r="C522" s="5"/>
      <c r="D522" s="5"/>
      <c r="E522" s="5"/>
      <c r="F522" s="5"/>
      <c r="G522" s="5"/>
      <c r="H522" s="5"/>
      <c r="I522" s="5"/>
    </row>
    <row r="523" spans="2:9" x14ac:dyDescent="0.3">
      <c r="B523" s="4"/>
      <c r="C523" s="5"/>
      <c r="D523" s="5"/>
      <c r="E523" s="5"/>
      <c r="F523" s="5"/>
      <c r="G523" s="5"/>
      <c r="H523" s="5"/>
      <c r="I523" s="5"/>
    </row>
    <row r="524" spans="2:9" x14ac:dyDescent="0.3">
      <c r="B524" s="4"/>
      <c r="C524" s="5"/>
      <c r="D524" s="5"/>
      <c r="E524" s="5"/>
      <c r="F524" s="5"/>
      <c r="G524" s="5"/>
      <c r="H524" s="5"/>
      <c r="I524" s="5"/>
    </row>
    <row r="525" spans="2:9" x14ac:dyDescent="0.3">
      <c r="B525" s="4"/>
      <c r="C525" s="5"/>
      <c r="D525" s="5"/>
      <c r="E525" s="5"/>
      <c r="F525" s="5"/>
      <c r="G525" s="5"/>
      <c r="H525" s="5"/>
      <c r="I525" s="5"/>
    </row>
    <row r="526" spans="2:9" x14ac:dyDescent="0.3">
      <c r="B526" s="4"/>
      <c r="C526" s="5"/>
      <c r="D526" s="5"/>
      <c r="E526" s="5"/>
      <c r="F526" s="5"/>
      <c r="G526" s="5"/>
      <c r="H526" s="5"/>
      <c r="I526" s="5"/>
    </row>
    <row r="527" spans="2:9" x14ac:dyDescent="0.3">
      <c r="B527" s="4"/>
      <c r="C527" s="5"/>
      <c r="D527" s="5"/>
      <c r="E527" s="5"/>
      <c r="F527" s="5"/>
      <c r="G527" s="5"/>
      <c r="H527" s="5"/>
      <c r="I527" s="5"/>
    </row>
    <row r="528" spans="2:9" x14ac:dyDescent="0.3">
      <c r="B528" s="4"/>
      <c r="C528" s="5"/>
      <c r="D528" s="5"/>
      <c r="E528" s="5"/>
      <c r="F528" s="5"/>
      <c r="G528" s="5"/>
      <c r="H528" s="5"/>
      <c r="I528" s="5"/>
    </row>
    <row r="529" spans="2:9" x14ac:dyDescent="0.3">
      <c r="B529" s="4"/>
      <c r="C529" s="5"/>
      <c r="D529" s="5"/>
      <c r="E529" s="5"/>
      <c r="F529" s="5"/>
      <c r="G529" s="5"/>
      <c r="H529" s="5"/>
      <c r="I529" s="5"/>
    </row>
    <row r="530" spans="2:9" x14ac:dyDescent="0.3">
      <c r="B530" s="4"/>
      <c r="C530" s="5"/>
      <c r="D530" s="5"/>
      <c r="E530" s="5"/>
      <c r="F530" s="5"/>
      <c r="G530" s="5"/>
      <c r="H530" s="5"/>
      <c r="I530" s="5"/>
    </row>
    <row r="531" spans="2:9" x14ac:dyDescent="0.3">
      <c r="B531" s="4"/>
      <c r="C531" s="5"/>
      <c r="D531" s="5"/>
      <c r="E531" s="5"/>
      <c r="F531" s="5"/>
      <c r="G531" s="5"/>
      <c r="H531" s="5"/>
      <c r="I531" s="5"/>
    </row>
    <row r="532" spans="2:9" x14ac:dyDescent="0.3">
      <c r="B532" s="4"/>
      <c r="C532" s="5"/>
      <c r="D532" s="5"/>
      <c r="E532" s="5"/>
      <c r="F532" s="5"/>
      <c r="G532" s="5"/>
      <c r="H532" s="5"/>
      <c r="I532" s="5"/>
    </row>
    <row r="533" spans="2:9" x14ac:dyDescent="0.3">
      <c r="B533" s="4"/>
      <c r="C533" s="5"/>
      <c r="D533" s="5"/>
      <c r="E533" s="5"/>
      <c r="F533" s="5"/>
      <c r="G533" s="5"/>
      <c r="H533" s="5"/>
      <c r="I533" s="5"/>
    </row>
    <row r="534" spans="2:9" x14ac:dyDescent="0.3">
      <c r="B534" s="4"/>
      <c r="C534" s="5"/>
      <c r="D534" s="5"/>
      <c r="E534" s="5"/>
      <c r="F534" s="5"/>
      <c r="G534" s="5"/>
      <c r="H534" s="5"/>
      <c r="I534" s="5"/>
    </row>
    <row r="535" spans="2:9" x14ac:dyDescent="0.3">
      <c r="B535" s="4"/>
      <c r="C535" s="5"/>
      <c r="D535" s="5"/>
      <c r="E535" s="5"/>
      <c r="F535" s="5"/>
      <c r="G535" s="5"/>
      <c r="H535" s="5"/>
      <c r="I535" s="5"/>
    </row>
    <row r="536" spans="2:9" x14ac:dyDescent="0.3">
      <c r="B536" s="4"/>
      <c r="C536" s="5"/>
      <c r="D536" s="5"/>
      <c r="E536" s="5"/>
      <c r="F536" s="5"/>
      <c r="G536" s="5"/>
      <c r="H536" s="5"/>
      <c r="I536" s="5"/>
    </row>
    <row r="537" spans="2:9" x14ac:dyDescent="0.3">
      <c r="B537" s="4"/>
      <c r="C537" s="5"/>
      <c r="D537" s="5"/>
      <c r="E537" s="5"/>
      <c r="F537" s="5"/>
      <c r="G537" s="5"/>
      <c r="H537" s="5"/>
      <c r="I537" s="5"/>
    </row>
    <row r="538" spans="2:9" x14ac:dyDescent="0.3">
      <c r="B538" s="4"/>
      <c r="C538" s="5"/>
      <c r="D538" s="5"/>
      <c r="E538" s="5"/>
      <c r="F538" s="5"/>
      <c r="G538" s="5"/>
      <c r="H538" s="5"/>
      <c r="I538" s="5"/>
    </row>
    <row r="539" spans="2:9" x14ac:dyDescent="0.3">
      <c r="B539" s="4"/>
      <c r="C539" s="5"/>
      <c r="D539" s="5"/>
      <c r="E539" s="5"/>
      <c r="F539" s="5"/>
      <c r="G539" s="5"/>
      <c r="H539" s="5"/>
      <c r="I539" s="5"/>
    </row>
    <row r="540" spans="2:9" x14ac:dyDescent="0.3">
      <c r="B540" s="4"/>
      <c r="C540" s="5"/>
      <c r="D540" s="5"/>
      <c r="E540" s="5"/>
      <c r="F540" s="5"/>
      <c r="G540" s="5"/>
      <c r="H540" s="5"/>
      <c r="I540" s="5"/>
    </row>
    <row r="541" spans="2:9" x14ac:dyDescent="0.3">
      <c r="B541" s="4"/>
      <c r="C541" s="5"/>
      <c r="D541" s="5"/>
      <c r="E541" s="5"/>
      <c r="F541" s="5"/>
      <c r="G541" s="5"/>
      <c r="H541" s="5"/>
      <c r="I541" s="5"/>
    </row>
    <row r="542" spans="2:9" x14ac:dyDescent="0.3">
      <c r="B542" s="4"/>
      <c r="C542" s="5"/>
      <c r="D542" s="5"/>
      <c r="E542" s="5"/>
      <c r="F542" s="5"/>
      <c r="G542" s="5"/>
      <c r="H542" s="5"/>
      <c r="I542" s="5"/>
    </row>
    <row r="543" spans="2:9" x14ac:dyDescent="0.3">
      <c r="B543" s="4"/>
      <c r="C543" s="5"/>
      <c r="D543" s="5"/>
      <c r="E543" s="5"/>
      <c r="F543" s="5"/>
      <c r="G543" s="5"/>
      <c r="H543" s="5"/>
      <c r="I543" s="5"/>
    </row>
    <row r="544" spans="2:9" x14ac:dyDescent="0.3">
      <c r="B544" s="4"/>
      <c r="C544" s="5"/>
      <c r="D544" s="5"/>
      <c r="E544" s="5"/>
      <c r="F544" s="5"/>
      <c r="G544" s="5"/>
      <c r="H544" s="5"/>
      <c r="I544" s="5"/>
    </row>
    <row r="545" spans="2:9" x14ac:dyDescent="0.3">
      <c r="B545" s="4"/>
      <c r="C545" s="5"/>
      <c r="D545" s="5"/>
      <c r="E545" s="5"/>
      <c r="F545" s="5"/>
      <c r="G545" s="5"/>
      <c r="H545" s="5"/>
      <c r="I545" s="5"/>
    </row>
    <row r="546" spans="2:9" x14ac:dyDescent="0.3">
      <c r="B546" s="4"/>
      <c r="C546" s="5"/>
      <c r="D546" s="5"/>
      <c r="E546" s="5"/>
      <c r="F546" s="5"/>
      <c r="G546" s="5"/>
      <c r="H546" s="5"/>
      <c r="I546" s="5"/>
    </row>
    <row r="547" spans="2:9" x14ac:dyDescent="0.3">
      <c r="B547" s="4"/>
      <c r="C547" s="5"/>
      <c r="D547" s="5"/>
      <c r="E547" s="5"/>
      <c r="F547" s="5"/>
      <c r="G547" s="5"/>
      <c r="H547" s="5"/>
      <c r="I547" s="5"/>
    </row>
    <row r="548" spans="2:9" x14ac:dyDescent="0.3">
      <c r="B548" s="4"/>
      <c r="C548" s="5"/>
      <c r="D548" s="5"/>
      <c r="E548" s="5"/>
      <c r="F548" s="5"/>
      <c r="G548" s="5"/>
      <c r="H548" s="5"/>
      <c r="I548" s="5"/>
    </row>
    <row r="549" spans="2:9" x14ac:dyDescent="0.3">
      <c r="B549" s="4"/>
      <c r="C549" s="5"/>
      <c r="D549" s="5"/>
      <c r="E549" s="5"/>
      <c r="F549" s="5"/>
      <c r="G549" s="5"/>
      <c r="H549" s="5"/>
      <c r="I549" s="5"/>
    </row>
    <row r="550" spans="2:9" x14ac:dyDescent="0.3">
      <c r="B550" s="4"/>
      <c r="C550" s="5"/>
      <c r="D550" s="5"/>
      <c r="E550" s="5"/>
      <c r="F550" s="5"/>
      <c r="G550" s="5"/>
      <c r="H550" s="5"/>
      <c r="I550" s="5"/>
    </row>
    <row r="551" spans="2:9" x14ac:dyDescent="0.3">
      <c r="B551" s="4"/>
      <c r="C551" s="5"/>
      <c r="D551" s="5"/>
      <c r="E551" s="5"/>
      <c r="F551" s="5"/>
      <c r="G551" s="5"/>
      <c r="H551" s="5"/>
      <c r="I551" s="5"/>
    </row>
    <row r="552" spans="2:9" x14ac:dyDescent="0.3">
      <c r="B552" s="4"/>
      <c r="C552" s="5"/>
      <c r="D552" s="5"/>
      <c r="E552" s="5"/>
      <c r="F552" s="5"/>
      <c r="G552" s="5"/>
      <c r="H552" s="5"/>
      <c r="I552" s="5"/>
    </row>
    <row r="553" spans="2:9" x14ac:dyDescent="0.3">
      <c r="B553" s="4"/>
      <c r="C553" s="5"/>
      <c r="D553" s="5"/>
      <c r="E553" s="5"/>
      <c r="F553" s="5"/>
      <c r="G553" s="5"/>
      <c r="H553" s="5"/>
      <c r="I553" s="5"/>
    </row>
    <row r="554" spans="2:9" x14ac:dyDescent="0.3">
      <c r="B554" s="4"/>
      <c r="C554" s="5"/>
      <c r="D554" s="5"/>
      <c r="E554" s="5"/>
      <c r="F554" s="5"/>
      <c r="G554" s="5"/>
      <c r="H554" s="5"/>
      <c r="I554" s="5"/>
    </row>
    <row r="555" spans="2:9" x14ac:dyDescent="0.3">
      <c r="B555" s="4"/>
      <c r="C555" s="5"/>
      <c r="D555" s="5"/>
      <c r="E555" s="5"/>
      <c r="F555" s="5"/>
      <c r="G555" s="5"/>
      <c r="H555" s="5"/>
      <c r="I555" s="5"/>
    </row>
    <row r="556" spans="2:9" x14ac:dyDescent="0.3">
      <c r="B556" s="4"/>
      <c r="C556" s="5"/>
      <c r="D556" s="5"/>
      <c r="E556" s="5"/>
      <c r="F556" s="5"/>
      <c r="G556" s="5"/>
      <c r="H556" s="5"/>
      <c r="I556" s="5"/>
    </row>
    <row r="557" spans="2:9" x14ac:dyDescent="0.3">
      <c r="B557" s="4"/>
      <c r="C557" s="5"/>
      <c r="D557" s="5"/>
      <c r="E557" s="5"/>
      <c r="F557" s="5"/>
      <c r="G557" s="5"/>
      <c r="H557" s="5"/>
      <c r="I557" s="5"/>
    </row>
    <row r="558" spans="2:9" x14ac:dyDescent="0.3">
      <c r="B558" s="4"/>
      <c r="C558" s="5"/>
      <c r="D558" s="5"/>
      <c r="E558" s="5"/>
      <c r="F558" s="5"/>
      <c r="G558" s="5"/>
      <c r="H558" s="5"/>
      <c r="I558" s="5"/>
    </row>
    <row r="559" spans="2:9" x14ac:dyDescent="0.3">
      <c r="B559" s="4"/>
      <c r="C559" s="5"/>
      <c r="D559" s="5"/>
      <c r="E559" s="5"/>
      <c r="F559" s="5"/>
      <c r="G559" s="5"/>
      <c r="H559" s="5"/>
      <c r="I559" s="5"/>
    </row>
    <row r="560" spans="2:9" x14ac:dyDescent="0.3">
      <c r="B560" s="4"/>
      <c r="C560" s="5"/>
      <c r="D560" s="5"/>
      <c r="E560" s="5"/>
      <c r="F560" s="5"/>
      <c r="G560" s="5"/>
      <c r="H560" s="5"/>
      <c r="I560" s="5"/>
    </row>
    <row r="561" spans="2:9" x14ac:dyDescent="0.3">
      <c r="B561" s="4"/>
      <c r="C561" s="5"/>
      <c r="D561" s="5"/>
      <c r="E561" s="5"/>
      <c r="F561" s="5"/>
      <c r="G561" s="5"/>
      <c r="H561" s="5"/>
      <c r="I561" s="5"/>
    </row>
    <row r="562" spans="2:9" x14ac:dyDescent="0.3">
      <c r="B562" s="4"/>
      <c r="C562" s="5"/>
      <c r="D562" s="5"/>
      <c r="E562" s="5"/>
      <c r="F562" s="5"/>
      <c r="G562" s="5"/>
      <c r="H562" s="5"/>
      <c r="I562" s="5"/>
    </row>
    <row r="563" spans="2:9" x14ac:dyDescent="0.3">
      <c r="B563" s="4"/>
      <c r="C563" s="5"/>
      <c r="D563" s="5"/>
      <c r="E563" s="5"/>
      <c r="F563" s="5"/>
      <c r="G563" s="5"/>
      <c r="H563" s="5"/>
      <c r="I563" s="5"/>
    </row>
    <row r="564" spans="2:9" x14ac:dyDescent="0.3">
      <c r="B564" s="4"/>
      <c r="C564" s="5"/>
      <c r="D564" s="5"/>
      <c r="E564" s="5"/>
      <c r="F564" s="5"/>
      <c r="G564" s="5"/>
      <c r="H564" s="5"/>
      <c r="I564" s="5"/>
    </row>
    <row r="565" spans="2:9" x14ac:dyDescent="0.3">
      <c r="B565" s="4"/>
      <c r="C565" s="5"/>
      <c r="D565" s="5"/>
      <c r="E565" s="5"/>
      <c r="F565" s="5"/>
      <c r="G565" s="5"/>
      <c r="H565" s="5"/>
      <c r="I565" s="5"/>
    </row>
    <row r="566" spans="2:9" x14ac:dyDescent="0.3">
      <c r="B566" s="4"/>
      <c r="C566" s="5"/>
      <c r="D566" s="5"/>
      <c r="E566" s="5"/>
      <c r="F566" s="5"/>
      <c r="G566" s="5"/>
      <c r="H566" s="5"/>
      <c r="I566" s="5"/>
    </row>
    <row r="567" spans="2:9" x14ac:dyDescent="0.3">
      <c r="B567" s="4"/>
      <c r="C567" s="5"/>
      <c r="D567" s="5"/>
      <c r="E567" s="5"/>
      <c r="F567" s="5"/>
      <c r="G567" s="5"/>
      <c r="H567" s="5"/>
      <c r="I567" s="5"/>
    </row>
    <row r="568" spans="2:9" x14ac:dyDescent="0.3">
      <c r="B568" s="4"/>
      <c r="C568" s="5"/>
      <c r="D568" s="5"/>
      <c r="E568" s="5"/>
      <c r="F568" s="5"/>
      <c r="G568" s="5"/>
      <c r="H568" s="5"/>
      <c r="I568" s="5"/>
    </row>
    <row r="569" spans="2:9" x14ac:dyDescent="0.3">
      <c r="B569" s="4"/>
      <c r="C569" s="5"/>
      <c r="D569" s="5"/>
      <c r="E569" s="5"/>
      <c r="F569" s="5"/>
      <c r="G569" s="5"/>
      <c r="H569" s="5"/>
      <c r="I569" s="5"/>
    </row>
    <row r="570" spans="2:9" x14ac:dyDescent="0.3">
      <c r="B570" s="4"/>
      <c r="C570" s="5"/>
      <c r="D570" s="5"/>
      <c r="E570" s="5"/>
      <c r="F570" s="5"/>
      <c r="G570" s="5"/>
      <c r="H570" s="5"/>
      <c r="I570" s="5"/>
    </row>
    <row r="571" spans="2:9" x14ac:dyDescent="0.3">
      <c r="B571" s="4"/>
      <c r="C571" s="5"/>
      <c r="D571" s="5"/>
      <c r="E571" s="5"/>
      <c r="F571" s="5"/>
      <c r="G571" s="5"/>
      <c r="H571" s="5"/>
      <c r="I571" s="5"/>
    </row>
    <row r="572" spans="2:9" x14ac:dyDescent="0.3">
      <c r="B572" s="4"/>
      <c r="C572" s="5"/>
      <c r="D572" s="5"/>
      <c r="E572" s="5"/>
      <c r="F572" s="5"/>
      <c r="G572" s="5"/>
      <c r="H572" s="5"/>
      <c r="I572" s="5"/>
    </row>
    <row r="573" spans="2:9" x14ac:dyDescent="0.3">
      <c r="B573" s="4"/>
      <c r="C573" s="5"/>
      <c r="D573" s="5"/>
      <c r="E573" s="5"/>
      <c r="F573" s="5"/>
      <c r="G573" s="5"/>
      <c r="H573" s="5"/>
      <c r="I573" s="5"/>
    </row>
    <row r="574" spans="2:9" x14ac:dyDescent="0.3">
      <c r="B574" s="4"/>
      <c r="C574" s="5"/>
      <c r="D574" s="5"/>
      <c r="E574" s="5"/>
      <c r="F574" s="5"/>
      <c r="G574" s="5"/>
      <c r="H574" s="5"/>
      <c r="I574" s="5"/>
    </row>
    <row r="575" spans="2:9" x14ac:dyDescent="0.3">
      <c r="B575" s="4"/>
      <c r="C575" s="5"/>
      <c r="D575" s="5"/>
      <c r="E575" s="5"/>
      <c r="F575" s="5"/>
      <c r="G575" s="5"/>
      <c r="H575" s="5"/>
      <c r="I575" s="5"/>
    </row>
    <row r="576" spans="2:9" x14ac:dyDescent="0.3">
      <c r="B576" s="4"/>
      <c r="C576" s="5"/>
      <c r="D576" s="5"/>
      <c r="E576" s="5"/>
      <c r="F576" s="5"/>
      <c r="G576" s="5"/>
      <c r="H576" s="5"/>
      <c r="I576" s="5"/>
    </row>
    <row r="577" spans="2:9" x14ac:dyDescent="0.3">
      <c r="B577" s="4"/>
      <c r="C577" s="5"/>
      <c r="D577" s="5"/>
      <c r="E577" s="5"/>
      <c r="F577" s="5"/>
      <c r="G577" s="5"/>
      <c r="H577" s="5"/>
      <c r="I577" s="5"/>
    </row>
    <row r="578" spans="2:9" x14ac:dyDescent="0.3">
      <c r="B578" s="4"/>
      <c r="C578" s="5"/>
      <c r="D578" s="5"/>
      <c r="E578" s="5"/>
      <c r="F578" s="5"/>
      <c r="G578" s="5"/>
      <c r="H578" s="5"/>
      <c r="I578" s="5"/>
    </row>
    <row r="579" spans="2:9" x14ac:dyDescent="0.3">
      <c r="B579" s="4"/>
      <c r="C579" s="5"/>
      <c r="D579" s="5"/>
      <c r="E579" s="5"/>
      <c r="F579" s="5"/>
      <c r="G579" s="5"/>
      <c r="H579" s="5"/>
      <c r="I579" s="5"/>
    </row>
    <row r="580" spans="2:9" x14ac:dyDescent="0.3">
      <c r="B580" s="4"/>
      <c r="C580" s="5"/>
      <c r="D580" s="5"/>
      <c r="E580" s="5"/>
      <c r="F580" s="5"/>
      <c r="G580" s="5"/>
      <c r="H580" s="5"/>
      <c r="I580" s="5"/>
    </row>
    <row r="581" spans="2:9" x14ac:dyDescent="0.3">
      <c r="B581" s="4"/>
      <c r="C581" s="5"/>
      <c r="D581" s="5"/>
      <c r="E581" s="5"/>
      <c r="F581" s="5"/>
      <c r="G581" s="5"/>
      <c r="H581" s="5"/>
      <c r="I581" s="5"/>
    </row>
    <row r="582" spans="2:9" x14ac:dyDescent="0.3">
      <c r="B582" s="4"/>
      <c r="C582" s="5"/>
      <c r="D582" s="5"/>
      <c r="E582" s="5"/>
      <c r="F582" s="5"/>
      <c r="G582" s="5"/>
      <c r="H582" s="5"/>
      <c r="I582" s="5"/>
    </row>
    <row r="583" spans="2:9" x14ac:dyDescent="0.3">
      <c r="B583" s="4"/>
      <c r="C583" s="5"/>
      <c r="D583" s="5"/>
      <c r="E583" s="5"/>
      <c r="F583" s="5"/>
      <c r="G583" s="5"/>
      <c r="H583" s="5"/>
      <c r="I583" s="5"/>
    </row>
    <row r="584" spans="2:9" x14ac:dyDescent="0.3">
      <c r="B584" s="4"/>
      <c r="C584" s="5"/>
      <c r="D584" s="5"/>
      <c r="E584" s="5"/>
      <c r="F584" s="5"/>
      <c r="G584" s="5"/>
      <c r="H584" s="5"/>
      <c r="I584" s="5"/>
    </row>
    <row r="585" spans="2:9" x14ac:dyDescent="0.3">
      <c r="B585" s="4"/>
      <c r="C585" s="5"/>
      <c r="D585" s="5"/>
      <c r="E585" s="5"/>
      <c r="F585" s="5"/>
      <c r="G585" s="5"/>
      <c r="H585" s="5"/>
      <c r="I585" s="5"/>
    </row>
    <row r="586" spans="2:9" x14ac:dyDescent="0.3">
      <c r="B586" s="4"/>
      <c r="C586" s="5"/>
      <c r="D586" s="5"/>
      <c r="E586" s="5"/>
      <c r="F586" s="5"/>
      <c r="G586" s="5"/>
      <c r="H586" s="5"/>
      <c r="I586" s="5"/>
    </row>
    <row r="587" spans="2:9" x14ac:dyDescent="0.3">
      <c r="B587" s="4"/>
      <c r="C587" s="5"/>
      <c r="D587" s="5"/>
      <c r="E587" s="5"/>
      <c r="F587" s="5"/>
      <c r="G587" s="5"/>
      <c r="H587" s="5"/>
      <c r="I587" s="5"/>
    </row>
    <row r="588" spans="2:9" x14ac:dyDescent="0.3">
      <c r="B588" s="4"/>
      <c r="C588" s="5"/>
      <c r="D588" s="5"/>
      <c r="E588" s="5"/>
      <c r="F588" s="5"/>
      <c r="G588" s="5"/>
      <c r="H588" s="5"/>
      <c r="I588" s="5"/>
    </row>
    <row r="589" spans="2:9" x14ac:dyDescent="0.3">
      <c r="B589" s="4"/>
      <c r="C589" s="5"/>
      <c r="D589" s="5"/>
      <c r="E589" s="5"/>
      <c r="F589" s="5"/>
      <c r="G589" s="5"/>
      <c r="H589" s="5"/>
      <c r="I589" s="5"/>
    </row>
    <row r="590" spans="2:9" x14ac:dyDescent="0.3">
      <c r="B590" s="4"/>
      <c r="C590" s="5"/>
      <c r="D590" s="5"/>
      <c r="E590" s="5"/>
      <c r="F590" s="5"/>
      <c r="G590" s="5"/>
      <c r="H590" s="5"/>
      <c r="I590" s="5"/>
    </row>
    <row r="591" spans="2:9" x14ac:dyDescent="0.3">
      <c r="B591" s="4"/>
      <c r="C591" s="5"/>
      <c r="D591" s="5"/>
      <c r="E591" s="5"/>
      <c r="F591" s="5"/>
      <c r="G591" s="5"/>
      <c r="H591" s="5"/>
      <c r="I591" s="5"/>
    </row>
    <row r="592" spans="2:9" x14ac:dyDescent="0.3">
      <c r="B592" s="4"/>
      <c r="C592" s="5"/>
      <c r="D592" s="5"/>
      <c r="E592" s="5"/>
      <c r="F592" s="5"/>
      <c r="G592" s="5"/>
      <c r="H592" s="5"/>
      <c r="I592" s="5"/>
    </row>
    <row r="593" spans="2:9" x14ac:dyDescent="0.3">
      <c r="B593" s="4"/>
      <c r="C593" s="5"/>
      <c r="D593" s="5"/>
      <c r="E593" s="5"/>
      <c r="F593" s="5"/>
      <c r="G593" s="5"/>
      <c r="H593" s="5"/>
      <c r="I593" s="5"/>
    </row>
    <row r="594" spans="2:9" x14ac:dyDescent="0.3">
      <c r="B594" s="4"/>
      <c r="C594" s="5"/>
      <c r="D594" s="5"/>
      <c r="E594" s="5"/>
      <c r="F594" s="5"/>
      <c r="G594" s="5"/>
      <c r="H594" s="5"/>
      <c r="I594" s="5"/>
    </row>
    <row r="595" spans="2:9" x14ac:dyDescent="0.3">
      <c r="B595" s="4"/>
      <c r="C595" s="5"/>
      <c r="D595" s="5"/>
      <c r="E595" s="5"/>
      <c r="F595" s="5"/>
      <c r="G595" s="5"/>
      <c r="H595" s="5"/>
      <c r="I595" s="5"/>
    </row>
    <row r="596" spans="2:9" x14ac:dyDescent="0.3">
      <c r="B596" s="4"/>
      <c r="C596" s="5"/>
      <c r="D596" s="5"/>
      <c r="E596" s="5"/>
      <c r="F596" s="5"/>
      <c r="G596" s="5"/>
      <c r="H596" s="5"/>
      <c r="I596" s="5"/>
    </row>
    <row r="597" spans="2:9" x14ac:dyDescent="0.3">
      <c r="B597" s="4"/>
      <c r="C597" s="5"/>
      <c r="D597" s="5"/>
      <c r="E597" s="5"/>
      <c r="F597" s="5"/>
      <c r="G597" s="5"/>
      <c r="H597" s="5"/>
      <c r="I597" s="5"/>
    </row>
    <row r="598" spans="2:9" x14ac:dyDescent="0.3">
      <c r="B598" s="4"/>
      <c r="C598" s="5"/>
      <c r="D598" s="5"/>
      <c r="E598" s="5"/>
      <c r="F598" s="5"/>
      <c r="G598" s="5"/>
      <c r="H598" s="5"/>
      <c r="I598" s="5"/>
    </row>
    <row r="599" spans="2:9" x14ac:dyDescent="0.3">
      <c r="B599" s="4"/>
      <c r="C599" s="5"/>
      <c r="D599" s="5"/>
      <c r="E599" s="5"/>
      <c r="F599" s="5"/>
      <c r="G599" s="5"/>
      <c r="H599" s="5"/>
      <c r="I599" s="5"/>
    </row>
    <row r="600" spans="2:9" x14ac:dyDescent="0.3">
      <c r="B600" s="4"/>
      <c r="C600" s="5"/>
      <c r="D600" s="5"/>
      <c r="E600" s="5"/>
      <c r="F600" s="5"/>
      <c r="G600" s="5"/>
      <c r="H600" s="5"/>
      <c r="I600" s="5"/>
    </row>
    <row r="601" spans="2:9" x14ac:dyDescent="0.3">
      <c r="B601" s="4"/>
      <c r="C601" s="5"/>
      <c r="D601" s="5"/>
      <c r="E601" s="5"/>
      <c r="F601" s="5"/>
      <c r="G601" s="5"/>
      <c r="H601" s="5"/>
      <c r="I601" s="5"/>
    </row>
    <row r="602" spans="2:9" x14ac:dyDescent="0.3">
      <c r="B602" s="4"/>
      <c r="C602" s="5"/>
      <c r="D602" s="5"/>
      <c r="E602" s="5"/>
      <c r="F602" s="5"/>
      <c r="G602" s="5"/>
      <c r="H602" s="5"/>
      <c r="I602" s="5"/>
    </row>
    <row r="603" spans="2:9" x14ac:dyDescent="0.3">
      <c r="B603" s="4"/>
      <c r="C603" s="5"/>
      <c r="D603" s="5"/>
      <c r="E603" s="5"/>
      <c r="F603" s="5"/>
      <c r="G603" s="5"/>
      <c r="H603" s="5"/>
      <c r="I603" s="5"/>
    </row>
    <row r="604" spans="2:9" x14ac:dyDescent="0.3">
      <c r="B604" s="4"/>
      <c r="C604" s="5"/>
      <c r="D604" s="5"/>
      <c r="E604" s="5"/>
      <c r="F604" s="5"/>
      <c r="G604" s="5"/>
      <c r="H604" s="5"/>
      <c r="I604" s="5"/>
    </row>
    <row r="605" spans="2:9" x14ac:dyDescent="0.3">
      <c r="B605" s="4"/>
      <c r="C605" s="5"/>
      <c r="D605" s="5"/>
      <c r="E605" s="5"/>
      <c r="F605" s="5"/>
      <c r="G605" s="5"/>
      <c r="H605" s="5"/>
      <c r="I605" s="5"/>
    </row>
    <row r="606" spans="2:9" x14ac:dyDescent="0.3">
      <c r="B606" s="4"/>
      <c r="C606" s="5"/>
      <c r="D606" s="5"/>
      <c r="E606" s="5"/>
      <c r="F606" s="5"/>
      <c r="G606" s="5"/>
      <c r="H606" s="5"/>
      <c r="I606" s="5"/>
    </row>
    <row r="607" spans="2:9" x14ac:dyDescent="0.3">
      <c r="B607" s="4"/>
      <c r="C607" s="5"/>
      <c r="D607" s="5"/>
      <c r="E607" s="5"/>
      <c r="F607" s="5"/>
      <c r="G607" s="5"/>
      <c r="H607" s="5"/>
      <c r="I607" s="5"/>
    </row>
    <row r="608" spans="2:9" x14ac:dyDescent="0.3">
      <c r="B608" s="4"/>
      <c r="C608" s="5"/>
      <c r="D608" s="5"/>
      <c r="E608" s="5"/>
      <c r="F608" s="5"/>
      <c r="G608" s="5"/>
      <c r="H608" s="5"/>
      <c r="I608" s="5"/>
    </row>
    <row r="609" spans="2:9" x14ac:dyDescent="0.3">
      <c r="B609" s="4"/>
      <c r="C609" s="5"/>
      <c r="D609" s="5"/>
      <c r="E609" s="5"/>
      <c r="F609" s="5"/>
      <c r="G609" s="5"/>
      <c r="H609" s="5"/>
      <c r="I609" s="5"/>
    </row>
    <row r="610" spans="2:9" x14ac:dyDescent="0.3">
      <c r="B610" s="4"/>
      <c r="C610" s="5"/>
      <c r="D610" s="5"/>
      <c r="E610" s="5"/>
      <c r="F610" s="5"/>
      <c r="G610" s="5"/>
      <c r="H610" s="5"/>
      <c r="I610" s="5"/>
    </row>
    <row r="611" spans="2:9" x14ac:dyDescent="0.3">
      <c r="B611" s="4"/>
      <c r="C611" s="5"/>
      <c r="D611" s="5"/>
      <c r="E611" s="5"/>
      <c r="F611" s="5"/>
      <c r="G611" s="5"/>
      <c r="H611" s="5"/>
      <c r="I611" s="5"/>
    </row>
    <row r="612" spans="2:9" x14ac:dyDescent="0.3">
      <c r="B612" s="4"/>
      <c r="C612" s="5"/>
      <c r="D612" s="5"/>
      <c r="E612" s="5"/>
      <c r="F612" s="5"/>
      <c r="G612" s="5"/>
      <c r="H612" s="5"/>
      <c r="I612" s="5"/>
    </row>
    <row r="613" spans="2:9" x14ac:dyDescent="0.3">
      <c r="B613" s="4"/>
      <c r="C613" s="5"/>
      <c r="D613" s="5"/>
      <c r="E613" s="5"/>
      <c r="F613" s="5"/>
      <c r="G613" s="5"/>
      <c r="H613" s="5"/>
      <c r="I613" s="5"/>
    </row>
    <row r="614" spans="2:9" x14ac:dyDescent="0.3">
      <c r="B614" s="4"/>
      <c r="C614" s="5"/>
      <c r="D614" s="5"/>
      <c r="E614" s="5"/>
      <c r="F614" s="5"/>
      <c r="G614" s="5"/>
      <c r="H614" s="5"/>
      <c r="I614" s="5"/>
    </row>
    <row r="615" spans="2:9" x14ac:dyDescent="0.3">
      <c r="B615" s="4"/>
      <c r="C615" s="5"/>
      <c r="D615" s="5"/>
      <c r="E615" s="5"/>
      <c r="F615" s="5"/>
      <c r="G615" s="5"/>
      <c r="H615" s="5"/>
      <c r="I615" s="5"/>
    </row>
    <row r="616" spans="2:9" x14ac:dyDescent="0.3">
      <c r="B616" s="4"/>
      <c r="C616" s="5"/>
      <c r="D616" s="5"/>
      <c r="E616" s="5"/>
      <c r="F616" s="5"/>
      <c r="G616" s="5"/>
      <c r="H616" s="5"/>
      <c r="I616" s="5"/>
    </row>
    <row r="617" spans="2:9" x14ac:dyDescent="0.3">
      <c r="B617" s="4"/>
      <c r="C617" s="5"/>
      <c r="D617" s="5"/>
      <c r="E617" s="5"/>
      <c r="F617" s="5"/>
      <c r="G617" s="5"/>
      <c r="H617" s="5"/>
      <c r="I617" s="5"/>
    </row>
    <row r="618" spans="2:9" x14ac:dyDescent="0.3">
      <c r="B618" s="4"/>
      <c r="C618" s="5"/>
      <c r="D618" s="5"/>
      <c r="E618" s="5"/>
      <c r="F618" s="5"/>
      <c r="G618" s="5"/>
      <c r="H618" s="5"/>
      <c r="I618" s="5"/>
    </row>
    <row r="619" spans="2:9" x14ac:dyDescent="0.3">
      <c r="B619" s="4"/>
      <c r="C619" s="5"/>
      <c r="D619" s="5"/>
      <c r="E619" s="5"/>
      <c r="F619" s="5"/>
      <c r="G619" s="5"/>
      <c r="H619" s="5"/>
      <c r="I619" s="5"/>
    </row>
    <row r="620" spans="2:9" x14ac:dyDescent="0.3">
      <c r="B620" s="4"/>
      <c r="C620" s="5"/>
      <c r="D620" s="5"/>
      <c r="E620" s="5"/>
      <c r="F620" s="5"/>
      <c r="G620" s="5"/>
      <c r="H620" s="5"/>
      <c r="I620" s="5"/>
    </row>
    <row r="621" spans="2:9" x14ac:dyDescent="0.3">
      <c r="B621" s="4"/>
      <c r="C621" s="5"/>
      <c r="D621" s="5"/>
      <c r="E621" s="5"/>
      <c r="F621" s="5"/>
      <c r="G621" s="5"/>
      <c r="H621" s="5"/>
      <c r="I621" s="5"/>
    </row>
    <row r="622" spans="2:9" x14ac:dyDescent="0.3">
      <c r="B622" s="4"/>
      <c r="C622" s="5"/>
      <c r="D622" s="5"/>
      <c r="E622" s="5"/>
      <c r="F622" s="5"/>
      <c r="G622" s="5"/>
      <c r="H622" s="5"/>
      <c r="I622" s="5"/>
    </row>
    <row r="623" spans="2:9" x14ac:dyDescent="0.3">
      <c r="B623" s="4"/>
      <c r="C623" s="5"/>
      <c r="D623" s="5"/>
      <c r="E623" s="5"/>
      <c r="F623" s="5"/>
      <c r="G623" s="5"/>
      <c r="H623" s="5"/>
      <c r="I623" s="5"/>
    </row>
    <row r="624" spans="2:9" x14ac:dyDescent="0.3">
      <c r="B624" s="4"/>
      <c r="C624" s="5"/>
      <c r="D624" s="5"/>
      <c r="E624" s="5"/>
      <c r="F624" s="5"/>
      <c r="G624" s="5"/>
      <c r="H624" s="5"/>
      <c r="I624" s="5"/>
    </row>
    <row r="625" spans="2:9" x14ac:dyDescent="0.3">
      <c r="B625" s="4"/>
      <c r="C625" s="5"/>
      <c r="D625" s="5"/>
      <c r="E625" s="5"/>
      <c r="F625" s="5"/>
      <c r="G625" s="5"/>
      <c r="H625" s="5"/>
      <c r="I625" s="5"/>
    </row>
    <row r="626" spans="2:9" x14ac:dyDescent="0.3">
      <c r="B626" s="4"/>
      <c r="C626" s="5"/>
      <c r="D626" s="5"/>
      <c r="E626" s="5"/>
      <c r="F626" s="5"/>
      <c r="G626" s="5"/>
      <c r="H626" s="5"/>
      <c r="I626" s="5"/>
    </row>
    <row r="627" spans="2:9" x14ac:dyDescent="0.3">
      <c r="B627" s="4"/>
      <c r="C627" s="5"/>
      <c r="D627" s="5"/>
      <c r="E627" s="5"/>
      <c r="F627" s="5"/>
      <c r="G627" s="5"/>
      <c r="H627" s="5"/>
      <c r="I627" s="5"/>
    </row>
    <row r="628" spans="2:9" x14ac:dyDescent="0.3">
      <c r="B628" s="4"/>
      <c r="C628" s="5"/>
      <c r="D628" s="5"/>
      <c r="E628" s="5"/>
      <c r="F628" s="5"/>
      <c r="G628" s="5"/>
      <c r="H628" s="5"/>
      <c r="I628" s="5"/>
    </row>
    <row r="629" spans="2:9" x14ac:dyDescent="0.3">
      <c r="B629" s="4"/>
      <c r="C629" s="5"/>
      <c r="D629" s="5"/>
      <c r="E629" s="5"/>
      <c r="F629" s="5"/>
      <c r="G629" s="5"/>
      <c r="H629" s="5"/>
      <c r="I629" s="5"/>
    </row>
    <row r="630" spans="2:9" x14ac:dyDescent="0.3">
      <c r="B630" s="4"/>
      <c r="C630" s="5"/>
      <c r="D630" s="5"/>
      <c r="E630" s="5"/>
      <c r="F630" s="5"/>
      <c r="G630" s="5"/>
      <c r="H630" s="5"/>
      <c r="I630" s="5"/>
    </row>
    <row r="631" spans="2:9" x14ac:dyDescent="0.3">
      <c r="B631" s="4"/>
      <c r="C631" s="5"/>
      <c r="D631" s="5"/>
      <c r="E631" s="5"/>
      <c r="F631" s="5"/>
      <c r="G631" s="5"/>
      <c r="H631" s="5"/>
      <c r="I631" s="5"/>
    </row>
    <row r="632" spans="2:9" x14ac:dyDescent="0.3">
      <c r="B632" s="4"/>
      <c r="C632" s="5"/>
      <c r="D632" s="5"/>
      <c r="E632" s="5"/>
      <c r="F632" s="5"/>
      <c r="G632" s="5"/>
      <c r="H632" s="5"/>
      <c r="I632" s="5"/>
    </row>
    <row r="633" spans="2:9" x14ac:dyDescent="0.3">
      <c r="B633" s="4"/>
      <c r="C633" s="5"/>
      <c r="D633" s="5"/>
      <c r="E633" s="5"/>
      <c r="F633" s="5"/>
      <c r="G633" s="5"/>
      <c r="H633" s="5"/>
      <c r="I633" s="5"/>
    </row>
    <row r="634" spans="2:9" x14ac:dyDescent="0.3">
      <c r="B634" s="4"/>
      <c r="C634" s="5"/>
      <c r="D634" s="5"/>
      <c r="E634" s="5"/>
      <c r="F634" s="5"/>
      <c r="G634" s="5"/>
      <c r="H634" s="5"/>
      <c r="I634" s="5"/>
    </row>
    <row r="635" spans="2:9" x14ac:dyDescent="0.3">
      <c r="B635" s="4"/>
      <c r="C635" s="5"/>
      <c r="D635" s="5"/>
      <c r="E635" s="5"/>
      <c r="F635" s="5"/>
      <c r="G635" s="5"/>
      <c r="H635" s="5"/>
      <c r="I635" s="5"/>
    </row>
    <row r="636" spans="2:9" x14ac:dyDescent="0.3">
      <c r="B636" s="4"/>
      <c r="C636" s="5"/>
      <c r="D636" s="5"/>
      <c r="E636" s="5"/>
      <c r="F636" s="5"/>
      <c r="G636" s="5"/>
      <c r="H636" s="5"/>
      <c r="I636" s="5"/>
    </row>
    <row r="637" spans="2:9" x14ac:dyDescent="0.3">
      <c r="B637" s="4"/>
      <c r="C637" s="5"/>
      <c r="D637" s="5"/>
      <c r="E637" s="5"/>
      <c r="F637" s="5"/>
      <c r="G637" s="5"/>
      <c r="H637" s="5"/>
      <c r="I637" s="5"/>
    </row>
    <row r="638" spans="2:9" x14ac:dyDescent="0.3">
      <c r="B638" s="4"/>
      <c r="C638" s="5"/>
      <c r="D638" s="5"/>
      <c r="E638" s="5"/>
      <c r="F638" s="5"/>
      <c r="G638" s="5"/>
      <c r="H638" s="5"/>
      <c r="I638" s="5"/>
    </row>
    <row r="639" spans="2:9" x14ac:dyDescent="0.3">
      <c r="B639" s="4"/>
      <c r="C639" s="5"/>
      <c r="D639" s="5"/>
      <c r="E639" s="5"/>
      <c r="F639" s="5"/>
      <c r="G639" s="5"/>
      <c r="H639" s="5"/>
      <c r="I639" s="5"/>
    </row>
    <row r="640" spans="2:9" x14ac:dyDescent="0.3">
      <c r="B640" s="4"/>
      <c r="C640" s="5"/>
      <c r="D640" s="5"/>
      <c r="E640" s="5"/>
      <c r="F640" s="5"/>
      <c r="G640" s="5"/>
      <c r="H640" s="5"/>
      <c r="I640" s="5"/>
    </row>
    <row r="641" spans="2:9" x14ac:dyDescent="0.3">
      <c r="B641" s="4"/>
      <c r="C641" s="5"/>
      <c r="D641" s="5"/>
      <c r="E641" s="5"/>
      <c r="F641" s="5"/>
      <c r="G641" s="5"/>
      <c r="H641" s="5"/>
      <c r="I641" s="5"/>
    </row>
    <row r="642" spans="2:9" x14ac:dyDescent="0.3">
      <c r="B642" s="4"/>
      <c r="C642" s="5"/>
      <c r="D642" s="5"/>
      <c r="E642" s="5"/>
      <c r="F642" s="5"/>
      <c r="G642" s="5"/>
      <c r="H642" s="5"/>
      <c r="I642" s="5"/>
    </row>
    <row r="643" spans="2:9" x14ac:dyDescent="0.3">
      <c r="B643" s="4"/>
      <c r="C643" s="5"/>
      <c r="D643" s="5"/>
      <c r="E643" s="5"/>
      <c r="F643" s="5"/>
      <c r="G643" s="5"/>
      <c r="H643" s="5"/>
      <c r="I643" s="5"/>
    </row>
    <row r="644" spans="2:9" x14ac:dyDescent="0.3">
      <c r="B644" s="4"/>
      <c r="C644" s="5"/>
      <c r="D644" s="5"/>
      <c r="E644" s="5"/>
      <c r="F644" s="5"/>
      <c r="G644" s="5"/>
      <c r="H644" s="5"/>
      <c r="I644" s="5"/>
    </row>
    <row r="645" spans="2:9" x14ac:dyDescent="0.3">
      <c r="B645" s="4"/>
      <c r="C645" s="5"/>
      <c r="D645" s="5"/>
      <c r="E645" s="5"/>
      <c r="F645" s="5"/>
      <c r="G645" s="5"/>
      <c r="H645" s="5"/>
      <c r="I645" s="5"/>
    </row>
    <row r="646" spans="2:9" x14ac:dyDescent="0.3">
      <c r="B646" s="4"/>
      <c r="C646" s="5"/>
      <c r="D646" s="5"/>
      <c r="E646" s="5"/>
      <c r="F646" s="5"/>
      <c r="G646" s="5"/>
      <c r="H646" s="5"/>
      <c r="I646" s="5"/>
    </row>
    <row r="647" spans="2:9" x14ac:dyDescent="0.3">
      <c r="B647" s="4"/>
      <c r="C647" s="5"/>
      <c r="D647" s="5"/>
      <c r="E647" s="5"/>
      <c r="F647" s="5"/>
      <c r="G647" s="5"/>
      <c r="H647" s="5"/>
      <c r="I647" s="5"/>
    </row>
    <row r="648" spans="2:9" x14ac:dyDescent="0.3">
      <c r="B648" s="4"/>
      <c r="C648" s="5"/>
      <c r="D648" s="5"/>
      <c r="E648" s="5"/>
      <c r="F648" s="5"/>
      <c r="G648" s="5"/>
      <c r="H648" s="5"/>
      <c r="I648" s="5"/>
    </row>
    <row r="649" spans="2:9" x14ac:dyDescent="0.3">
      <c r="B649" s="4"/>
      <c r="C649" s="5"/>
      <c r="D649" s="5"/>
      <c r="E649" s="5"/>
      <c r="F649" s="5"/>
      <c r="G649" s="5"/>
      <c r="H649" s="5"/>
      <c r="I649" s="5"/>
    </row>
    <row r="650" spans="2:9" x14ac:dyDescent="0.3">
      <c r="B650" s="4"/>
      <c r="C650" s="5"/>
      <c r="D650" s="5"/>
      <c r="E650" s="5"/>
      <c r="F650" s="5"/>
      <c r="G650" s="5"/>
      <c r="H650" s="5"/>
      <c r="I650" s="5"/>
    </row>
    <row r="651" spans="2:9" x14ac:dyDescent="0.3">
      <c r="B651" s="4"/>
      <c r="C651" s="5"/>
      <c r="D651" s="5"/>
      <c r="E651" s="5"/>
      <c r="F651" s="5"/>
      <c r="G651" s="5"/>
      <c r="H651" s="5"/>
      <c r="I651" s="5"/>
    </row>
    <row r="652" spans="2:9" x14ac:dyDescent="0.3">
      <c r="B652" s="4"/>
      <c r="C652" s="5"/>
      <c r="D652" s="5"/>
      <c r="E652" s="5"/>
      <c r="F652" s="5"/>
      <c r="G652" s="5"/>
      <c r="H652" s="5"/>
      <c r="I652" s="5"/>
    </row>
    <row r="653" spans="2:9" x14ac:dyDescent="0.3">
      <c r="B653" s="4"/>
      <c r="C653" s="5"/>
      <c r="D653" s="5"/>
      <c r="E653" s="5"/>
      <c r="F653" s="5"/>
      <c r="G653" s="5"/>
      <c r="H653" s="5"/>
      <c r="I653" s="5"/>
    </row>
    <row r="654" spans="2:9" x14ac:dyDescent="0.3">
      <c r="B654" s="4"/>
      <c r="C654" s="5"/>
      <c r="D654" s="5"/>
      <c r="E654" s="5"/>
      <c r="F654" s="5"/>
      <c r="G654" s="5"/>
      <c r="H654" s="5"/>
      <c r="I654" s="5"/>
    </row>
    <row r="655" spans="2:9" x14ac:dyDescent="0.3">
      <c r="B655" s="4"/>
      <c r="C655" s="5"/>
      <c r="D655" s="5"/>
      <c r="E655" s="5"/>
      <c r="F655" s="5"/>
      <c r="G655" s="5"/>
      <c r="H655" s="5"/>
      <c r="I655" s="5"/>
    </row>
    <row r="656" spans="2:9" x14ac:dyDescent="0.3">
      <c r="B656" s="4"/>
      <c r="C656" s="5"/>
      <c r="D656" s="5"/>
      <c r="E656" s="5"/>
      <c r="F656" s="5"/>
      <c r="G656" s="5"/>
      <c r="H656" s="5"/>
      <c r="I656" s="5"/>
    </row>
    <row r="657" spans="2:9" x14ac:dyDescent="0.3">
      <c r="B657" s="4"/>
      <c r="C657" s="5"/>
      <c r="D657" s="5"/>
      <c r="E657" s="5"/>
      <c r="F657" s="5"/>
      <c r="G657" s="5"/>
      <c r="H657" s="5"/>
      <c r="I657" s="5"/>
    </row>
    <row r="658" spans="2:9" x14ac:dyDescent="0.3">
      <c r="B658" s="4"/>
      <c r="C658" s="5"/>
      <c r="D658" s="5"/>
      <c r="E658" s="5"/>
      <c r="F658" s="5"/>
      <c r="G658" s="5"/>
      <c r="H658" s="5"/>
      <c r="I658" s="5"/>
    </row>
    <row r="659" spans="2:9" x14ac:dyDescent="0.3">
      <c r="B659" s="4"/>
      <c r="C659" s="5"/>
      <c r="D659" s="5"/>
      <c r="E659" s="5"/>
      <c r="F659" s="5"/>
      <c r="G659" s="5"/>
      <c r="H659" s="5"/>
      <c r="I659" s="5"/>
    </row>
    <row r="660" spans="2:9" x14ac:dyDescent="0.3">
      <c r="B660" s="4"/>
      <c r="C660" s="5"/>
      <c r="D660" s="5"/>
      <c r="E660" s="5"/>
      <c r="F660" s="5"/>
      <c r="G660" s="5"/>
      <c r="H660" s="5"/>
      <c r="I660" s="5"/>
    </row>
    <row r="661" spans="2:9" x14ac:dyDescent="0.3">
      <c r="B661" s="4"/>
      <c r="C661" s="5"/>
      <c r="D661" s="5"/>
      <c r="E661" s="5"/>
      <c r="F661" s="5"/>
      <c r="G661" s="5"/>
      <c r="H661" s="5"/>
      <c r="I661" s="5"/>
    </row>
    <row r="662" spans="2:9" x14ac:dyDescent="0.3">
      <c r="B662" s="4"/>
      <c r="C662" s="5"/>
      <c r="D662" s="5"/>
      <c r="E662" s="5"/>
      <c r="F662" s="5"/>
      <c r="G662" s="5"/>
      <c r="H662" s="5"/>
      <c r="I662" s="5"/>
    </row>
    <row r="663" spans="2:9" x14ac:dyDescent="0.3">
      <c r="B663" s="4"/>
      <c r="C663" s="5"/>
      <c r="D663" s="5"/>
      <c r="E663" s="5"/>
      <c r="F663" s="5"/>
      <c r="G663" s="5"/>
      <c r="H663" s="5"/>
      <c r="I663" s="5"/>
    </row>
    <row r="664" spans="2:9" x14ac:dyDescent="0.3">
      <c r="B664" s="4"/>
      <c r="C664" s="5"/>
      <c r="D664" s="5"/>
      <c r="E664" s="5"/>
      <c r="F664" s="5"/>
      <c r="G664" s="5"/>
      <c r="H664" s="5"/>
      <c r="I664" s="5"/>
    </row>
    <row r="665" spans="2:9" x14ac:dyDescent="0.3">
      <c r="B665" s="4"/>
      <c r="C665" s="5"/>
      <c r="D665" s="5"/>
      <c r="E665" s="5"/>
      <c r="F665" s="5"/>
      <c r="G665" s="5"/>
      <c r="H665" s="5"/>
      <c r="I665" s="5"/>
    </row>
    <row r="666" spans="2:9" x14ac:dyDescent="0.3">
      <c r="B666" s="4"/>
      <c r="C666" s="5"/>
      <c r="D666" s="5"/>
      <c r="E666" s="5"/>
      <c r="F666" s="5"/>
      <c r="G666" s="5"/>
      <c r="H666" s="5"/>
      <c r="I666" s="5"/>
    </row>
    <row r="667" spans="2:9" x14ac:dyDescent="0.3">
      <c r="B667" s="4"/>
      <c r="C667" s="5"/>
      <c r="D667" s="5"/>
      <c r="E667" s="5"/>
      <c r="F667" s="5"/>
      <c r="G667" s="5"/>
      <c r="H667" s="5"/>
      <c r="I667" s="5"/>
    </row>
    <row r="668" spans="2:9" x14ac:dyDescent="0.3">
      <c r="B668" s="4"/>
      <c r="C668" s="5"/>
      <c r="D668" s="5"/>
      <c r="E668" s="5"/>
      <c r="F668" s="5"/>
      <c r="G668" s="5"/>
      <c r="H668" s="5"/>
      <c r="I668" s="5"/>
    </row>
    <row r="669" spans="2:9" x14ac:dyDescent="0.3">
      <c r="B669" s="4"/>
      <c r="C669" s="5"/>
      <c r="D669" s="5"/>
      <c r="E669" s="5"/>
      <c r="F669" s="5"/>
      <c r="G669" s="5"/>
      <c r="H669" s="5"/>
      <c r="I669" s="5"/>
    </row>
    <row r="670" spans="2:9" x14ac:dyDescent="0.3">
      <c r="B670" s="4"/>
      <c r="C670" s="5"/>
      <c r="D670" s="5"/>
      <c r="E670" s="5"/>
      <c r="F670" s="5"/>
      <c r="G670" s="5"/>
      <c r="H670" s="5"/>
      <c r="I670" s="5"/>
    </row>
    <row r="671" spans="2:9" x14ac:dyDescent="0.3">
      <c r="B671" s="4"/>
      <c r="C671" s="5"/>
      <c r="D671" s="5"/>
      <c r="E671" s="5"/>
      <c r="F671" s="5"/>
      <c r="G671" s="5"/>
      <c r="H671" s="5"/>
      <c r="I671" s="5"/>
    </row>
    <row r="672" spans="2:9" x14ac:dyDescent="0.3">
      <c r="B672" s="4"/>
      <c r="C672" s="5"/>
      <c r="D672" s="5"/>
      <c r="E672" s="5"/>
      <c r="F672" s="5"/>
      <c r="G672" s="5"/>
      <c r="H672" s="5"/>
      <c r="I672" s="5"/>
    </row>
    <row r="673" spans="2:9" x14ac:dyDescent="0.3">
      <c r="B673" s="4"/>
      <c r="C673" s="5"/>
      <c r="D673" s="5"/>
      <c r="E673" s="5"/>
      <c r="F673" s="5"/>
      <c r="G673" s="5"/>
      <c r="H673" s="5"/>
      <c r="I673" s="5"/>
    </row>
    <row r="674" spans="2:9" x14ac:dyDescent="0.3">
      <c r="B674" s="4"/>
      <c r="C674" s="5"/>
      <c r="D674" s="5"/>
      <c r="E674" s="5"/>
      <c r="F674" s="5"/>
      <c r="G674" s="5"/>
      <c r="H674" s="5"/>
      <c r="I674" s="5"/>
    </row>
    <row r="675" spans="2:9" x14ac:dyDescent="0.3">
      <c r="B675" s="4"/>
      <c r="C675" s="5"/>
      <c r="D675" s="5"/>
      <c r="E675" s="5"/>
      <c r="F675" s="5"/>
      <c r="G675" s="5"/>
      <c r="H675" s="5"/>
      <c r="I675" s="5"/>
    </row>
    <row r="676" spans="2:9" x14ac:dyDescent="0.3">
      <c r="B676" s="4"/>
      <c r="C676" s="5"/>
      <c r="D676" s="5"/>
      <c r="E676" s="5"/>
      <c r="F676" s="5"/>
      <c r="G676" s="5"/>
      <c r="H676" s="5"/>
      <c r="I676" s="5"/>
    </row>
    <row r="677" spans="2:9" x14ac:dyDescent="0.3">
      <c r="B677" s="4"/>
      <c r="C677" s="5"/>
      <c r="D677" s="5"/>
      <c r="E677" s="5"/>
      <c r="F677" s="5"/>
      <c r="G677" s="5"/>
      <c r="H677" s="5"/>
      <c r="I677" s="5"/>
    </row>
    <row r="678" spans="2:9" x14ac:dyDescent="0.3">
      <c r="B678" s="4"/>
      <c r="C678" s="5"/>
      <c r="D678" s="5"/>
      <c r="E678" s="5"/>
      <c r="F678" s="5"/>
      <c r="G678" s="5"/>
      <c r="H678" s="5"/>
      <c r="I678" s="5"/>
    </row>
    <row r="679" spans="2:9" x14ac:dyDescent="0.3">
      <c r="B679" s="4"/>
      <c r="C679" s="5"/>
      <c r="D679" s="5"/>
      <c r="E679" s="5"/>
      <c r="F679" s="5"/>
      <c r="G679" s="5"/>
      <c r="H679" s="5"/>
      <c r="I679" s="5"/>
    </row>
    <row r="680" spans="2:9" x14ac:dyDescent="0.3">
      <c r="B680" s="4"/>
      <c r="C680" s="5"/>
      <c r="D680" s="5"/>
      <c r="E680" s="5"/>
      <c r="F680" s="5"/>
      <c r="G680" s="5"/>
      <c r="H680" s="5"/>
      <c r="I680" s="5"/>
    </row>
    <row r="681" spans="2:9" x14ac:dyDescent="0.3">
      <c r="B681" s="4"/>
      <c r="C681" s="5"/>
      <c r="D681" s="5"/>
      <c r="E681" s="5"/>
      <c r="F681" s="5"/>
      <c r="G681" s="5"/>
      <c r="H681" s="5"/>
      <c r="I681" s="5"/>
    </row>
    <row r="682" spans="2:9" x14ac:dyDescent="0.3">
      <c r="B682" s="4"/>
      <c r="C682" s="5"/>
      <c r="D682" s="5"/>
      <c r="E682" s="5"/>
      <c r="F682" s="5"/>
      <c r="G682" s="5"/>
      <c r="H682" s="5"/>
      <c r="I682" s="5"/>
    </row>
    <row r="683" spans="2:9" x14ac:dyDescent="0.3">
      <c r="B683" s="4"/>
      <c r="C683" s="5"/>
      <c r="D683" s="5"/>
      <c r="E683" s="5"/>
      <c r="F683" s="5"/>
      <c r="G683" s="5"/>
      <c r="H683" s="5"/>
      <c r="I683" s="5"/>
    </row>
    <row r="684" spans="2:9" x14ac:dyDescent="0.3">
      <c r="B684" s="4"/>
      <c r="C684" s="5"/>
      <c r="D684" s="5"/>
      <c r="E684" s="5"/>
      <c r="F684" s="5"/>
      <c r="G684" s="5"/>
      <c r="H684" s="5"/>
      <c r="I684" s="5"/>
    </row>
    <row r="685" spans="2:9" x14ac:dyDescent="0.3">
      <c r="B685" s="4"/>
      <c r="C685" s="5"/>
      <c r="D685" s="5"/>
      <c r="E685" s="5"/>
      <c r="F685" s="5"/>
      <c r="G685" s="5"/>
      <c r="H685" s="5"/>
      <c r="I685" s="5"/>
    </row>
    <row r="686" spans="2:9" x14ac:dyDescent="0.3">
      <c r="B686" s="4"/>
      <c r="C686" s="5"/>
      <c r="D686" s="5"/>
      <c r="E686" s="5"/>
      <c r="F686" s="5"/>
      <c r="G686" s="5"/>
      <c r="H686" s="5"/>
      <c r="I686" s="5"/>
    </row>
    <row r="687" spans="2:9" x14ac:dyDescent="0.3">
      <c r="B687" s="4"/>
      <c r="C687" s="5"/>
      <c r="D687" s="5"/>
      <c r="E687" s="5"/>
      <c r="F687" s="5"/>
      <c r="G687" s="5"/>
      <c r="H687" s="5"/>
      <c r="I687" s="5"/>
    </row>
    <row r="688" spans="2:9" x14ac:dyDescent="0.3">
      <c r="B688" s="4"/>
      <c r="C688" s="5"/>
      <c r="D688" s="5"/>
      <c r="E688" s="5"/>
      <c r="F688" s="5"/>
      <c r="G688" s="5"/>
      <c r="H688" s="5"/>
      <c r="I688" s="5"/>
    </row>
    <row r="689" spans="2:9" x14ac:dyDescent="0.3">
      <c r="B689" s="4"/>
      <c r="C689" s="5"/>
      <c r="D689" s="5"/>
      <c r="E689" s="5"/>
      <c r="F689" s="5"/>
      <c r="G689" s="5"/>
      <c r="H689" s="5"/>
      <c r="I689" s="5"/>
    </row>
    <row r="690" spans="2:9" x14ac:dyDescent="0.3">
      <c r="B690" s="4"/>
      <c r="C690" s="5"/>
      <c r="D690" s="5"/>
      <c r="E690" s="5"/>
      <c r="F690" s="5"/>
      <c r="G690" s="5"/>
      <c r="H690" s="5"/>
      <c r="I690" s="5"/>
    </row>
    <row r="691" spans="2:9" x14ac:dyDescent="0.3">
      <c r="B691" s="4"/>
      <c r="C691" s="5"/>
      <c r="D691" s="5"/>
      <c r="E691" s="5"/>
      <c r="F691" s="5"/>
      <c r="G691" s="5"/>
      <c r="H691" s="5"/>
      <c r="I691" s="5"/>
    </row>
    <row r="692" spans="2:9" x14ac:dyDescent="0.3">
      <c r="B692" s="4"/>
      <c r="C692" s="5"/>
      <c r="D692" s="5"/>
      <c r="E692" s="5"/>
      <c r="F692" s="5"/>
      <c r="G692" s="5"/>
      <c r="H692" s="5"/>
      <c r="I692" s="5"/>
    </row>
    <row r="693" spans="2:9" x14ac:dyDescent="0.3">
      <c r="B693" s="4"/>
      <c r="C693" s="5"/>
      <c r="D693" s="5"/>
      <c r="E693" s="5"/>
      <c r="F693" s="5"/>
      <c r="G693" s="5"/>
      <c r="H693" s="5"/>
      <c r="I693" s="5"/>
    </row>
    <row r="694" spans="2:9" x14ac:dyDescent="0.3">
      <c r="B694" s="4"/>
      <c r="C694" s="5"/>
      <c r="D694" s="5"/>
      <c r="E694" s="5"/>
      <c r="F694" s="5"/>
      <c r="G694" s="5"/>
      <c r="H694" s="5"/>
      <c r="I694" s="5"/>
    </row>
    <row r="695" spans="2:9" x14ac:dyDescent="0.3">
      <c r="B695" s="4"/>
      <c r="C695" s="5"/>
      <c r="D695" s="5"/>
      <c r="E695" s="5"/>
      <c r="F695" s="5"/>
      <c r="G695" s="5"/>
      <c r="H695" s="5"/>
      <c r="I695" s="5"/>
    </row>
    <row r="696" spans="2:9" x14ac:dyDescent="0.3">
      <c r="B696" s="4"/>
      <c r="C696" s="5"/>
      <c r="D696" s="5"/>
      <c r="E696" s="5"/>
      <c r="F696" s="5"/>
      <c r="G696" s="5"/>
      <c r="H696" s="5"/>
      <c r="I696" s="5"/>
    </row>
    <row r="697" spans="2:9" x14ac:dyDescent="0.3">
      <c r="B697" s="4"/>
      <c r="C697" s="5"/>
      <c r="D697" s="5"/>
      <c r="E697" s="5"/>
      <c r="F697" s="5"/>
      <c r="G697" s="5"/>
      <c r="H697" s="5"/>
      <c r="I697" s="5"/>
    </row>
    <row r="698" spans="2:9" x14ac:dyDescent="0.3">
      <c r="B698" s="4"/>
      <c r="C698" s="5"/>
      <c r="D698" s="5"/>
      <c r="E698" s="5"/>
      <c r="F698" s="5"/>
      <c r="G698" s="5"/>
      <c r="H698" s="5"/>
      <c r="I698" s="5"/>
    </row>
    <row r="699" spans="2:9" x14ac:dyDescent="0.3">
      <c r="B699" s="4"/>
      <c r="C699" s="5"/>
      <c r="D699" s="5"/>
      <c r="E699" s="5"/>
      <c r="F699" s="5"/>
      <c r="G699" s="5"/>
      <c r="H699" s="5"/>
      <c r="I699" s="5"/>
    </row>
    <row r="700" spans="2:9" x14ac:dyDescent="0.3">
      <c r="B700" s="4"/>
      <c r="C700" s="5"/>
      <c r="D700" s="5"/>
      <c r="E700" s="5"/>
      <c r="F700" s="5"/>
      <c r="G700" s="5"/>
      <c r="H700" s="5"/>
      <c r="I700" s="5"/>
    </row>
    <row r="701" spans="2:9" x14ac:dyDescent="0.3">
      <c r="B701" s="4"/>
      <c r="C701" s="5"/>
      <c r="D701" s="5"/>
      <c r="E701" s="5"/>
      <c r="F701" s="5"/>
      <c r="G701" s="5"/>
      <c r="H701" s="5"/>
      <c r="I701" s="5"/>
    </row>
    <row r="702" spans="2:9" x14ac:dyDescent="0.3">
      <c r="B702" s="4"/>
      <c r="C702" s="5"/>
      <c r="D702" s="5"/>
      <c r="E702" s="5"/>
      <c r="F702" s="5"/>
      <c r="G702" s="5"/>
      <c r="H702" s="5"/>
      <c r="I702" s="5"/>
    </row>
    <row r="703" spans="2:9" x14ac:dyDescent="0.3">
      <c r="B703" s="4"/>
      <c r="C703" s="5"/>
      <c r="D703" s="5"/>
      <c r="E703" s="5"/>
      <c r="F703" s="5"/>
      <c r="G703" s="5"/>
      <c r="H703" s="5"/>
      <c r="I703" s="5"/>
    </row>
    <row r="704" spans="2:9" x14ac:dyDescent="0.3">
      <c r="B704" s="4"/>
      <c r="C704" s="5"/>
      <c r="D704" s="5"/>
      <c r="E704" s="5"/>
      <c r="F704" s="5"/>
      <c r="G704" s="5"/>
      <c r="H704" s="5"/>
      <c r="I704" s="5"/>
    </row>
    <row r="705" spans="2:9" x14ac:dyDescent="0.3">
      <c r="B705" s="4"/>
      <c r="C705" s="5"/>
      <c r="D705" s="5"/>
      <c r="E705" s="5"/>
      <c r="F705" s="5"/>
      <c r="G705" s="5"/>
      <c r="H705" s="5"/>
      <c r="I705" s="5"/>
    </row>
    <row r="706" spans="2:9" x14ac:dyDescent="0.3">
      <c r="B706" s="4"/>
      <c r="C706" s="5"/>
      <c r="D706" s="5"/>
      <c r="E706" s="5"/>
      <c r="F706" s="5"/>
      <c r="G706" s="5"/>
      <c r="H706" s="5"/>
      <c r="I706" s="5"/>
    </row>
    <row r="707" spans="2:9" x14ac:dyDescent="0.3">
      <c r="B707" s="4"/>
      <c r="C707" s="5"/>
      <c r="D707" s="5"/>
      <c r="E707" s="5"/>
      <c r="F707" s="5"/>
      <c r="G707" s="5"/>
      <c r="H707" s="5"/>
      <c r="I707" s="5"/>
    </row>
    <row r="708" spans="2:9" x14ac:dyDescent="0.3">
      <c r="B708" s="4"/>
      <c r="C708" s="5"/>
      <c r="D708" s="5"/>
      <c r="E708" s="5"/>
      <c r="F708" s="5"/>
      <c r="G708" s="5"/>
      <c r="H708" s="5"/>
      <c r="I708" s="5"/>
    </row>
    <row r="709" spans="2:9" x14ac:dyDescent="0.3">
      <c r="B709" s="4"/>
      <c r="C709" s="5"/>
      <c r="D709" s="5"/>
      <c r="E709" s="5"/>
      <c r="F709" s="5"/>
      <c r="G709" s="5"/>
      <c r="H709" s="5"/>
      <c r="I709" s="5"/>
    </row>
    <row r="710" spans="2:9" x14ac:dyDescent="0.3">
      <c r="B710" s="4"/>
      <c r="C710" s="5"/>
      <c r="D710" s="5"/>
      <c r="E710" s="5"/>
      <c r="F710" s="5"/>
      <c r="G710" s="5"/>
      <c r="H710" s="5"/>
      <c r="I710" s="5"/>
    </row>
    <row r="711" spans="2:9" x14ac:dyDescent="0.3">
      <c r="B711" s="4"/>
      <c r="C711" s="5"/>
      <c r="D711" s="5"/>
      <c r="E711" s="5"/>
      <c r="F711" s="5"/>
      <c r="G711" s="5"/>
      <c r="H711" s="5"/>
      <c r="I711" s="5"/>
    </row>
    <row r="712" spans="2:9" x14ac:dyDescent="0.3">
      <c r="B712" s="4"/>
      <c r="C712" s="5"/>
      <c r="D712" s="5"/>
      <c r="E712" s="5"/>
      <c r="F712" s="5"/>
      <c r="G712" s="5"/>
      <c r="H712" s="5"/>
      <c r="I712" s="5"/>
    </row>
    <row r="713" spans="2:9" x14ac:dyDescent="0.3">
      <c r="B713" s="4"/>
      <c r="C713" s="5"/>
      <c r="D713" s="5"/>
      <c r="E713" s="5"/>
      <c r="F713" s="5"/>
      <c r="G713" s="5"/>
      <c r="H713" s="5"/>
      <c r="I713" s="5"/>
    </row>
    <row r="714" spans="2:9" x14ac:dyDescent="0.3">
      <c r="B714" s="4"/>
      <c r="C714" s="5"/>
      <c r="D714" s="5"/>
      <c r="E714" s="5"/>
      <c r="F714" s="5"/>
      <c r="G714" s="5"/>
      <c r="H714" s="5"/>
      <c r="I714" s="5"/>
    </row>
    <row r="715" spans="2:9" x14ac:dyDescent="0.3">
      <c r="B715" s="4"/>
      <c r="C715" s="5"/>
      <c r="D715" s="5"/>
      <c r="E715" s="5"/>
      <c r="F715" s="5"/>
      <c r="G715" s="5"/>
      <c r="H715" s="5"/>
      <c r="I715" s="5"/>
    </row>
    <row r="716" spans="2:9" x14ac:dyDescent="0.3">
      <c r="B716" s="4"/>
      <c r="C716" s="5"/>
      <c r="D716" s="5"/>
      <c r="E716" s="5"/>
      <c r="F716" s="5"/>
      <c r="G716" s="5"/>
      <c r="H716" s="5"/>
      <c r="I716" s="5"/>
    </row>
    <row r="717" spans="2:9" x14ac:dyDescent="0.3">
      <c r="B717" s="4"/>
      <c r="C717" s="5"/>
      <c r="D717" s="5"/>
      <c r="E717" s="5"/>
      <c r="F717" s="5"/>
      <c r="G717" s="5"/>
      <c r="H717" s="5"/>
      <c r="I717" s="5"/>
    </row>
    <row r="718" spans="2:9" x14ac:dyDescent="0.3">
      <c r="B718" s="4"/>
      <c r="C718" s="5"/>
      <c r="D718" s="5"/>
      <c r="E718" s="5"/>
      <c r="F718" s="5"/>
      <c r="G718" s="5"/>
      <c r="H718" s="5"/>
      <c r="I718" s="5"/>
    </row>
    <row r="719" spans="2:9" x14ac:dyDescent="0.3">
      <c r="B719" s="4"/>
      <c r="C719" s="5"/>
      <c r="D719" s="5"/>
      <c r="E719" s="5"/>
      <c r="F719" s="5"/>
      <c r="G719" s="5"/>
      <c r="H719" s="5"/>
      <c r="I719" s="5"/>
    </row>
    <row r="720" spans="2:9" x14ac:dyDescent="0.3">
      <c r="B720" s="4"/>
      <c r="C720" s="5"/>
      <c r="D720" s="5"/>
      <c r="E720" s="5"/>
      <c r="F720" s="5"/>
      <c r="G720" s="5"/>
      <c r="H720" s="5"/>
      <c r="I720" s="5"/>
    </row>
    <row r="721" spans="2:9" x14ac:dyDescent="0.3">
      <c r="B721" s="4"/>
      <c r="C721" s="5"/>
      <c r="D721" s="5"/>
      <c r="E721" s="5"/>
      <c r="F721" s="5"/>
      <c r="G721" s="5"/>
      <c r="H721" s="5"/>
      <c r="I721" s="5"/>
    </row>
    <row r="722" spans="2:9" x14ac:dyDescent="0.3">
      <c r="B722" s="4"/>
      <c r="C722" s="5"/>
      <c r="D722" s="5"/>
      <c r="E722" s="5"/>
      <c r="F722" s="5"/>
      <c r="G722" s="5"/>
      <c r="H722" s="5"/>
      <c r="I722" s="5"/>
    </row>
    <row r="723" spans="2:9" x14ac:dyDescent="0.3">
      <c r="B723" s="4"/>
      <c r="C723" s="5"/>
      <c r="D723" s="5"/>
      <c r="E723" s="5"/>
      <c r="F723" s="5"/>
      <c r="G723" s="5"/>
      <c r="H723" s="5"/>
      <c r="I723" s="5"/>
    </row>
    <row r="724" spans="2:9" x14ac:dyDescent="0.3">
      <c r="B724" s="4"/>
      <c r="C724" s="5"/>
      <c r="D724" s="5"/>
      <c r="E724" s="5"/>
      <c r="F724" s="5"/>
      <c r="G724" s="5"/>
      <c r="H724" s="5"/>
      <c r="I724" s="5"/>
    </row>
    <row r="725" spans="2:9" x14ac:dyDescent="0.3">
      <c r="B725" s="4"/>
      <c r="C725" s="5"/>
      <c r="D725" s="5"/>
      <c r="E725" s="5"/>
      <c r="F725" s="5"/>
      <c r="G725" s="5"/>
      <c r="H725" s="5"/>
      <c r="I725" s="5"/>
    </row>
    <row r="726" spans="2:9" x14ac:dyDescent="0.3">
      <c r="B726" s="4"/>
      <c r="C726" s="5"/>
      <c r="D726" s="5"/>
      <c r="E726" s="5"/>
      <c r="F726" s="5"/>
      <c r="G726" s="5"/>
      <c r="H726" s="5"/>
      <c r="I726" s="5"/>
    </row>
    <row r="727" spans="2:9" x14ac:dyDescent="0.3">
      <c r="B727" s="4"/>
      <c r="C727" s="5"/>
      <c r="D727" s="5"/>
      <c r="E727" s="5"/>
      <c r="F727" s="5"/>
      <c r="G727" s="5"/>
      <c r="H727" s="5"/>
      <c r="I727" s="5"/>
    </row>
    <row r="728" spans="2:9" x14ac:dyDescent="0.3">
      <c r="B728" s="4"/>
      <c r="C728" s="5"/>
      <c r="D728" s="5"/>
      <c r="E728" s="5"/>
      <c r="F728" s="5"/>
      <c r="G728" s="5"/>
      <c r="H728" s="5"/>
      <c r="I728" s="5"/>
    </row>
    <row r="729" spans="2:9" x14ac:dyDescent="0.3">
      <c r="B729" s="4"/>
      <c r="C729" s="5"/>
      <c r="D729" s="5"/>
      <c r="E729" s="5"/>
      <c r="F729" s="5"/>
      <c r="G729" s="5"/>
      <c r="H729" s="5"/>
      <c r="I729" s="5"/>
    </row>
    <row r="730" spans="2:9" x14ac:dyDescent="0.3">
      <c r="B730" s="4"/>
      <c r="C730" s="5"/>
      <c r="D730" s="5"/>
      <c r="E730" s="5"/>
      <c r="F730" s="5"/>
      <c r="G730" s="5"/>
      <c r="H730" s="5"/>
      <c r="I730" s="5"/>
    </row>
    <row r="731" spans="2:9" x14ac:dyDescent="0.3">
      <c r="B731" s="4"/>
      <c r="C731" s="5"/>
      <c r="D731" s="5"/>
      <c r="E731" s="5"/>
      <c r="F731" s="5"/>
      <c r="G731" s="5"/>
      <c r="H731" s="5"/>
      <c r="I731" s="5"/>
    </row>
    <row r="732" spans="2:9" x14ac:dyDescent="0.3">
      <c r="B732" s="4"/>
      <c r="C732" s="5"/>
      <c r="D732" s="5"/>
      <c r="E732" s="5"/>
      <c r="F732" s="5"/>
      <c r="G732" s="5"/>
      <c r="H732" s="5"/>
      <c r="I732" s="5"/>
    </row>
    <row r="733" spans="2:9" x14ac:dyDescent="0.3">
      <c r="B733" s="4"/>
      <c r="C733" s="5"/>
      <c r="D733" s="5"/>
      <c r="E733" s="5"/>
      <c r="F733" s="5"/>
      <c r="G733" s="5"/>
      <c r="H733" s="5"/>
      <c r="I733" s="5"/>
    </row>
    <row r="734" spans="2:9" x14ac:dyDescent="0.3">
      <c r="B734" s="4"/>
      <c r="C734" s="5"/>
      <c r="D734" s="5"/>
      <c r="E734" s="5"/>
      <c r="F734" s="5"/>
      <c r="G734" s="5"/>
      <c r="H734" s="5"/>
      <c r="I734" s="5"/>
    </row>
    <row r="735" spans="2:9" x14ac:dyDescent="0.3">
      <c r="B735" s="4"/>
      <c r="C735" s="5"/>
      <c r="D735" s="5"/>
      <c r="E735" s="5"/>
      <c r="F735" s="5"/>
      <c r="G735" s="5"/>
      <c r="H735" s="5"/>
      <c r="I735" s="5"/>
    </row>
    <row r="736" spans="2:9" x14ac:dyDescent="0.3">
      <c r="B736" s="4"/>
      <c r="C736" s="5"/>
      <c r="D736" s="5"/>
      <c r="E736" s="5"/>
      <c r="F736" s="5"/>
      <c r="G736" s="5"/>
      <c r="H736" s="5"/>
      <c r="I736" s="5"/>
    </row>
    <row r="737" spans="2:9" x14ac:dyDescent="0.3">
      <c r="B737" s="4"/>
      <c r="C737" s="5"/>
      <c r="D737" s="5"/>
      <c r="E737" s="5"/>
      <c r="F737" s="5"/>
      <c r="G737" s="5"/>
      <c r="H737" s="5"/>
      <c r="I737" s="5"/>
    </row>
    <row r="738" spans="2:9" x14ac:dyDescent="0.3">
      <c r="B738" s="4"/>
      <c r="C738" s="5"/>
      <c r="D738" s="5"/>
      <c r="E738" s="5"/>
      <c r="F738" s="5"/>
      <c r="G738" s="5"/>
      <c r="H738" s="5"/>
      <c r="I738" s="5"/>
    </row>
    <row r="739" spans="2:9" x14ac:dyDescent="0.3">
      <c r="B739" s="4"/>
      <c r="C739" s="5"/>
      <c r="D739" s="5"/>
      <c r="E739" s="5"/>
      <c r="F739" s="5"/>
      <c r="G739" s="5"/>
      <c r="H739" s="5"/>
      <c r="I739" s="5"/>
    </row>
    <row r="740" spans="2:9" x14ac:dyDescent="0.3">
      <c r="B740" s="4"/>
      <c r="C740" s="5"/>
      <c r="D740" s="5"/>
      <c r="E740" s="5"/>
      <c r="F740" s="5"/>
      <c r="G740" s="5"/>
      <c r="H740" s="5"/>
      <c r="I740" s="5"/>
    </row>
    <row r="741" spans="2:9" x14ac:dyDescent="0.3">
      <c r="B741" s="4"/>
      <c r="C741" s="5"/>
      <c r="D741" s="5"/>
      <c r="E741" s="5"/>
      <c r="F741" s="5"/>
      <c r="G741" s="5"/>
      <c r="H741" s="5"/>
      <c r="I741" s="5"/>
    </row>
    <row r="742" spans="2:9" x14ac:dyDescent="0.3">
      <c r="B742" s="4"/>
      <c r="C742" s="5"/>
      <c r="D742" s="5"/>
      <c r="E742" s="5"/>
      <c r="F742" s="5"/>
      <c r="G742" s="5"/>
      <c r="H742" s="5"/>
      <c r="I742" s="5"/>
    </row>
    <row r="743" spans="2:9" x14ac:dyDescent="0.3">
      <c r="B743" s="4"/>
      <c r="C743" s="5"/>
      <c r="D743" s="5"/>
      <c r="E743" s="5"/>
      <c r="F743" s="5"/>
      <c r="G743" s="5"/>
      <c r="H743" s="5"/>
      <c r="I743" s="5"/>
    </row>
    <row r="744" spans="2:9" x14ac:dyDescent="0.3">
      <c r="B744" s="4"/>
      <c r="C744" s="5"/>
      <c r="D744" s="5"/>
      <c r="E744" s="5"/>
      <c r="F744" s="5"/>
      <c r="G744" s="5"/>
      <c r="H744" s="5"/>
      <c r="I744" s="5"/>
    </row>
    <row r="745" spans="2:9" x14ac:dyDescent="0.3">
      <c r="B745" s="4"/>
      <c r="C745" s="5"/>
      <c r="D745" s="5"/>
      <c r="E745" s="5"/>
      <c r="F745" s="5"/>
      <c r="G745" s="5"/>
      <c r="H745" s="5"/>
      <c r="I745" s="5"/>
    </row>
    <row r="746" spans="2:9" x14ac:dyDescent="0.3">
      <c r="B746" s="4"/>
      <c r="C746" s="5"/>
      <c r="D746" s="5"/>
      <c r="E746" s="5"/>
      <c r="F746" s="5"/>
      <c r="G746" s="5"/>
      <c r="H746" s="5"/>
      <c r="I746" s="5"/>
    </row>
    <row r="747" spans="2:9" x14ac:dyDescent="0.3">
      <c r="B747" s="4"/>
      <c r="C747" s="5"/>
      <c r="D747" s="5"/>
      <c r="E747" s="5"/>
      <c r="F747" s="5"/>
      <c r="G747" s="5"/>
      <c r="H747" s="5"/>
      <c r="I747" s="5"/>
    </row>
    <row r="748" spans="2:9" x14ac:dyDescent="0.3">
      <c r="B748" s="4"/>
      <c r="C748" s="5"/>
      <c r="D748" s="5"/>
      <c r="E748" s="5"/>
      <c r="F748" s="5"/>
      <c r="G748" s="5"/>
      <c r="H748" s="5"/>
      <c r="I748" s="5"/>
    </row>
    <row r="749" spans="2:9" x14ac:dyDescent="0.3">
      <c r="B749" s="4"/>
      <c r="C749" s="5"/>
      <c r="D749" s="5"/>
      <c r="E749" s="5"/>
      <c r="F749" s="5"/>
      <c r="G749" s="5"/>
      <c r="H749" s="5"/>
      <c r="I749" s="5"/>
    </row>
    <row r="750" spans="2:9" x14ac:dyDescent="0.3">
      <c r="B750" s="4"/>
      <c r="C750" s="5"/>
      <c r="D750" s="5"/>
      <c r="E750" s="5"/>
      <c r="F750" s="5"/>
      <c r="G750" s="5"/>
      <c r="H750" s="5"/>
      <c r="I750" s="5"/>
    </row>
    <row r="751" spans="2:9" x14ac:dyDescent="0.3">
      <c r="B751" s="4"/>
      <c r="C751" s="5"/>
      <c r="D751" s="5"/>
      <c r="E751" s="5"/>
      <c r="F751" s="5"/>
      <c r="G751" s="5"/>
      <c r="H751" s="5"/>
      <c r="I751" s="5"/>
    </row>
    <row r="752" spans="2:9" x14ac:dyDescent="0.3">
      <c r="B752" s="4"/>
      <c r="C752" s="5"/>
      <c r="D752" s="5"/>
      <c r="E752" s="5"/>
      <c r="F752" s="5"/>
      <c r="G752" s="5"/>
      <c r="H752" s="5"/>
      <c r="I752" s="5"/>
    </row>
    <row r="753" spans="2:9" x14ac:dyDescent="0.3">
      <c r="B753" s="4"/>
      <c r="C753" s="5"/>
      <c r="D753" s="5"/>
      <c r="E753" s="5"/>
      <c r="F753" s="5"/>
      <c r="G753" s="5"/>
      <c r="H753" s="5"/>
      <c r="I753" s="5"/>
    </row>
    <row r="754" spans="2:9" x14ac:dyDescent="0.3">
      <c r="B754" s="4"/>
      <c r="C754" s="5"/>
      <c r="D754" s="5"/>
      <c r="E754" s="5"/>
      <c r="F754" s="5"/>
      <c r="G754" s="5"/>
      <c r="H754" s="5"/>
      <c r="I754" s="5"/>
    </row>
    <row r="755" spans="2:9" x14ac:dyDescent="0.3">
      <c r="B755" s="4"/>
      <c r="C755" s="5"/>
      <c r="D755" s="5"/>
      <c r="E755" s="5"/>
      <c r="F755" s="5"/>
      <c r="G755" s="5"/>
      <c r="H755" s="5"/>
      <c r="I755" s="5"/>
    </row>
    <row r="756" spans="2:9" x14ac:dyDescent="0.3">
      <c r="B756" s="4"/>
      <c r="C756" s="5"/>
      <c r="D756" s="5"/>
      <c r="E756" s="5"/>
      <c r="F756" s="5"/>
      <c r="G756" s="5"/>
      <c r="H756" s="5"/>
      <c r="I756" s="5"/>
    </row>
    <row r="757" spans="2:9" x14ac:dyDescent="0.3">
      <c r="B757" s="4"/>
      <c r="C757" s="5"/>
      <c r="D757" s="5"/>
      <c r="E757" s="5"/>
      <c r="F757" s="5"/>
      <c r="G757" s="5"/>
      <c r="H757" s="5"/>
      <c r="I757" s="5"/>
    </row>
    <row r="758" spans="2:9" x14ac:dyDescent="0.3">
      <c r="B758" s="4"/>
      <c r="C758" s="5"/>
      <c r="D758" s="5"/>
      <c r="E758" s="5"/>
      <c r="F758" s="5"/>
      <c r="G758" s="5"/>
      <c r="H758" s="5"/>
      <c r="I758" s="5"/>
    </row>
    <row r="759" spans="2:9" x14ac:dyDescent="0.3">
      <c r="B759" s="4"/>
      <c r="C759" s="5"/>
      <c r="D759" s="5"/>
      <c r="E759" s="5"/>
      <c r="F759" s="5"/>
      <c r="G759" s="5"/>
      <c r="H759" s="5"/>
      <c r="I759" s="5"/>
    </row>
    <row r="760" spans="2:9" x14ac:dyDescent="0.3">
      <c r="B760" s="4"/>
      <c r="C760" s="5"/>
      <c r="D760" s="5"/>
      <c r="E760" s="5"/>
      <c r="F760" s="5"/>
      <c r="G760" s="5"/>
      <c r="H760" s="5"/>
      <c r="I760" s="5"/>
    </row>
    <row r="761" spans="2:9" x14ac:dyDescent="0.3">
      <c r="B761" s="4"/>
      <c r="C761" s="5"/>
      <c r="D761" s="5"/>
      <c r="E761" s="5"/>
      <c r="F761" s="5"/>
      <c r="G761" s="5"/>
      <c r="H761" s="5"/>
      <c r="I761" s="5"/>
    </row>
    <row r="762" spans="2:9" x14ac:dyDescent="0.3">
      <c r="B762" s="4"/>
      <c r="C762" s="5"/>
      <c r="D762" s="5"/>
      <c r="E762" s="5"/>
      <c r="F762" s="5"/>
      <c r="G762" s="5"/>
      <c r="H762" s="5"/>
      <c r="I762" s="5"/>
    </row>
    <row r="763" spans="2:9" x14ac:dyDescent="0.3">
      <c r="B763" s="4"/>
      <c r="C763" s="5"/>
      <c r="D763" s="5"/>
      <c r="E763" s="5"/>
      <c r="F763" s="5"/>
      <c r="G763" s="5"/>
      <c r="H763" s="5"/>
      <c r="I763" s="5"/>
    </row>
    <row r="764" spans="2:9" x14ac:dyDescent="0.3">
      <c r="B764" s="4"/>
      <c r="C764" s="5"/>
      <c r="D764" s="5"/>
      <c r="E764" s="5"/>
      <c r="F764" s="5"/>
      <c r="G764" s="5"/>
      <c r="H764" s="5"/>
      <c r="I764" s="5"/>
    </row>
    <row r="765" spans="2:9" x14ac:dyDescent="0.3">
      <c r="B765" s="4"/>
      <c r="C765" s="5"/>
      <c r="D765" s="5"/>
      <c r="E765" s="5"/>
      <c r="F765" s="5"/>
      <c r="G765" s="5"/>
      <c r="H765" s="5"/>
      <c r="I765" s="5"/>
    </row>
    <row r="766" spans="2:9" x14ac:dyDescent="0.3">
      <c r="B766" s="4"/>
      <c r="C766" s="5"/>
      <c r="D766" s="5"/>
      <c r="E766" s="5"/>
      <c r="F766" s="5"/>
      <c r="G766" s="5"/>
      <c r="H766" s="5"/>
      <c r="I766" s="5"/>
    </row>
    <row r="767" spans="2:9" x14ac:dyDescent="0.3">
      <c r="B767" s="4"/>
      <c r="C767" s="5"/>
      <c r="D767" s="5"/>
      <c r="E767" s="5"/>
      <c r="F767" s="5"/>
      <c r="G767" s="5"/>
      <c r="H767" s="5"/>
      <c r="I767" s="5"/>
    </row>
    <row r="768" spans="2:9" x14ac:dyDescent="0.3">
      <c r="B768" s="4"/>
      <c r="C768" s="5"/>
      <c r="D768" s="5"/>
      <c r="E768" s="5"/>
      <c r="F768" s="5"/>
      <c r="G768" s="5"/>
      <c r="H768" s="5"/>
      <c r="I768" s="5"/>
    </row>
    <row r="769" spans="2:9" x14ac:dyDescent="0.3">
      <c r="B769" s="4"/>
      <c r="C769" s="5"/>
      <c r="D769" s="5"/>
      <c r="E769" s="5"/>
      <c r="F769" s="5"/>
      <c r="G769" s="5"/>
      <c r="H769" s="5"/>
      <c r="I769" s="5"/>
    </row>
    <row r="770" spans="2:9" x14ac:dyDescent="0.3">
      <c r="B770" s="4"/>
      <c r="C770" s="5"/>
      <c r="D770" s="5"/>
      <c r="E770" s="5"/>
      <c r="F770" s="5"/>
      <c r="G770" s="5"/>
      <c r="H770" s="5"/>
      <c r="I770" s="5"/>
    </row>
    <row r="771" spans="2:9" x14ac:dyDescent="0.3">
      <c r="B771" s="4"/>
      <c r="C771" s="5"/>
      <c r="D771" s="5"/>
      <c r="E771" s="5"/>
      <c r="F771" s="5"/>
      <c r="G771" s="5"/>
      <c r="H771" s="5"/>
      <c r="I771" s="5"/>
    </row>
    <row r="772" spans="2:9" x14ac:dyDescent="0.3">
      <c r="B772" s="4"/>
      <c r="C772" s="5"/>
      <c r="D772" s="5"/>
      <c r="E772" s="5"/>
      <c r="F772" s="5"/>
      <c r="G772" s="5"/>
      <c r="H772" s="5"/>
      <c r="I772" s="5"/>
    </row>
    <row r="773" spans="2:9" x14ac:dyDescent="0.3">
      <c r="B773" s="4"/>
      <c r="C773" s="5"/>
      <c r="D773" s="5"/>
      <c r="E773" s="5"/>
      <c r="F773" s="5"/>
      <c r="G773" s="5"/>
      <c r="H773" s="5"/>
      <c r="I773" s="5"/>
    </row>
    <row r="774" spans="2:9" x14ac:dyDescent="0.3">
      <c r="B774" s="4"/>
      <c r="C774" s="5"/>
      <c r="D774" s="5"/>
      <c r="E774" s="5"/>
      <c r="F774" s="5"/>
      <c r="G774" s="5"/>
      <c r="H774" s="5"/>
      <c r="I774" s="5"/>
    </row>
    <row r="775" spans="2:9" x14ac:dyDescent="0.3">
      <c r="B775" s="4"/>
      <c r="C775" s="5"/>
      <c r="D775" s="5"/>
      <c r="E775" s="5"/>
      <c r="F775" s="5"/>
      <c r="G775" s="5"/>
      <c r="H775" s="5"/>
      <c r="I775" s="5"/>
    </row>
    <row r="776" spans="2:9" x14ac:dyDescent="0.3">
      <c r="B776" s="4"/>
      <c r="C776" s="5"/>
      <c r="D776" s="5"/>
      <c r="E776" s="5"/>
      <c r="F776" s="5"/>
      <c r="G776" s="5"/>
      <c r="H776" s="5"/>
      <c r="I776" s="5"/>
    </row>
    <row r="777" spans="2:9" x14ac:dyDescent="0.3">
      <c r="B777" s="4"/>
      <c r="C777" s="5"/>
      <c r="D777" s="5"/>
      <c r="E777" s="5"/>
      <c r="F777" s="5"/>
      <c r="G777" s="5"/>
      <c r="H777" s="5"/>
      <c r="I777" s="5"/>
    </row>
    <row r="778" spans="2:9" x14ac:dyDescent="0.3">
      <c r="B778" s="4"/>
      <c r="C778" s="5"/>
      <c r="D778" s="5"/>
      <c r="E778" s="5"/>
      <c r="F778" s="5"/>
      <c r="G778" s="5"/>
      <c r="H778" s="5"/>
      <c r="I778" s="5"/>
    </row>
    <row r="779" spans="2:9" x14ac:dyDescent="0.3">
      <c r="B779" s="4"/>
      <c r="C779" s="5"/>
      <c r="D779" s="5"/>
      <c r="E779" s="5"/>
      <c r="F779" s="5"/>
      <c r="G779" s="5"/>
      <c r="H779" s="5"/>
      <c r="I779" s="5"/>
    </row>
    <row r="780" spans="2:9" x14ac:dyDescent="0.3">
      <c r="B780" s="4"/>
      <c r="C780" s="5"/>
      <c r="D780" s="5"/>
      <c r="E780" s="5"/>
      <c r="F780" s="5"/>
      <c r="G780" s="5"/>
      <c r="H780" s="5"/>
      <c r="I780" s="5"/>
    </row>
    <row r="781" spans="2:9" x14ac:dyDescent="0.3">
      <c r="B781" s="4"/>
      <c r="C781" s="5"/>
      <c r="D781" s="5"/>
      <c r="E781" s="5"/>
      <c r="F781" s="5"/>
      <c r="G781" s="5"/>
      <c r="H781" s="5"/>
      <c r="I781" s="5"/>
    </row>
    <row r="782" spans="2:9" x14ac:dyDescent="0.3">
      <c r="B782" s="4"/>
      <c r="C782" s="5"/>
      <c r="D782" s="5"/>
      <c r="E782" s="5"/>
      <c r="F782" s="5"/>
      <c r="G782" s="5"/>
      <c r="H782" s="5"/>
      <c r="I782" s="5"/>
    </row>
    <row r="783" spans="2:9" x14ac:dyDescent="0.3">
      <c r="B783" s="4"/>
      <c r="C783" s="5"/>
      <c r="D783" s="5"/>
      <c r="E783" s="5"/>
      <c r="F783" s="5"/>
      <c r="G783" s="5"/>
      <c r="H783" s="5"/>
      <c r="I783" s="5"/>
    </row>
    <row r="784" spans="2:9" x14ac:dyDescent="0.3">
      <c r="B784" s="4"/>
      <c r="C784" s="5"/>
      <c r="D784" s="5"/>
      <c r="E784" s="5"/>
      <c r="F784" s="5"/>
      <c r="G784" s="5"/>
      <c r="H784" s="5"/>
      <c r="I784" s="5"/>
    </row>
    <row r="785" spans="2:9" x14ac:dyDescent="0.3">
      <c r="B785" s="4"/>
      <c r="C785" s="5"/>
      <c r="D785" s="5"/>
      <c r="E785" s="5"/>
      <c r="F785" s="5"/>
      <c r="G785" s="5"/>
      <c r="H785" s="5"/>
      <c r="I785" s="5"/>
    </row>
    <row r="786" spans="2:9" x14ac:dyDescent="0.3">
      <c r="B786" s="4"/>
      <c r="C786" s="5"/>
      <c r="D786" s="5"/>
      <c r="E786" s="5"/>
      <c r="F786" s="5"/>
      <c r="G786" s="5"/>
      <c r="H786" s="5"/>
      <c r="I786" s="5"/>
    </row>
    <row r="787" spans="2:9" x14ac:dyDescent="0.3">
      <c r="B787" s="4"/>
      <c r="C787" s="5"/>
      <c r="D787" s="5"/>
      <c r="E787" s="5"/>
      <c r="F787" s="5"/>
      <c r="G787" s="5"/>
      <c r="H787" s="5"/>
      <c r="I787" s="5"/>
    </row>
    <row r="788" spans="2:9" x14ac:dyDescent="0.3">
      <c r="B788" s="4"/>
      <c r="C788" s="5"/>
      <c r="D788" s="5"/>
      <c r="E788" s="5"/>
      <c r="F788" s="5"/>
      <c r="G788" s="5"/>
      <c r="H788" s="5"/>
      <c r="I788" s="5"/>
    </row>
    <row r="789" spans="2:9" x14ac:dyDescent="0.3">
      <c r="B789" s="4"/>
      <c r="C789" s="5"/>
      <c r="D789" s="5"/>
      <c r="E789" s="5"/>
      <c r="F789" s="5"/>
      <c r="G789" s="5"/>
      <c r="H789" s="5"/>
      <c r="I789" s="5"/>
    </row>
    <row r="790" spans="2:9" x14ac:dyDescent="0.3">
      <c r="B790" s="4"/>
      <c r="C790" s="5"/>
      <c r="D790" s="5"/>
      <c r="E790" s="5"/>
      <c r="F790" s="5"/>
      <c r="G790" s="5"/>
      <c r="H790" s="5"/>
      <c r="I790" s="5"/>
    </row>
    <row r="791" spans="2:9" x14ac:dyDescent="0.3">
      <c r="B791" s="4"/>
      <c r="C791" s="5"/>
      <c r="D791" s="5"/>
      <c r="E791" s="5"/>
      <c r="F791" s="5"/>
      <c r="G791" s="5"/>
      <c r="H791" s="5"/>
      <c r="I791" s="5"/>
    </row>
    <row r="792" spans="2:9" x14ac:dyDescent="0.3">
      <c r="B792" s="4"/>
      <c r="C792" s="5"/>
      <c r="D792" s="5"/>
      <c r="E792" s="5"/>
      <c r="F792" s="5"/>
      <c r="G792" s="5"/>
      <c r="H792" s="5"/>
      <c r="I792" s="5"/>
    </row>
    <row r="793" spans="2:9" x14ac:dyDescent="0.3">
      <c r="B793" s="4"/>
      <c r="C793" s="5"/>
      <c r="D793" s="5"/>
      <c r="E793" s="5"/>
      <c r="F793" s="5"/>
      <c r="G793" s="5"/>
      <c r="H793" s="5"/>
      <c r="I793" s="5"/>
    </row>
    <row r="794" spans="2:9" x14ac:dyDescent="0.3">
      <c r="B794" s="4"/>
      <c r="C794" s="5"/>
      <c r="D794" s="5"/>
      <c r="E794" s="5"/>
      <c r="F794" s="5"/>
      <c r="G794" s="5"/>
      <c r="H794" s="5"/>
      <c r="I794" s="5"/>
    </row>
    <row r="795" spans="2:9" x14ac:dyDescent="0.3">
      <c r="B795" s="4"/>
      <c r="C795" s="5"/>
      <c r="D795" s="5"/>
      <c r="E795" s="5"/>
      <c r="F795" s="5"/>
      <c r="G795" s="5"/>
      <c r="H795" s="5"/>
      <c r="I795" s="5"/>
    </row>
    <row r="796" spans="2:9" x14ac:dyDescent="0.3">
      <c r="B796" s="4"/>
      <c r="C796" s="5"/>
      <c r="D796" s="5"/>
      <c r="E796" s="5"/>
      <c r="F796" s="5"/>
      <c r="G796" s="5"/>
      <c r="H796" s="5"/>
      <c r="I796" s="5"/>
    </row>
    <row r="797" spans="2:9" x14ac:dyDescent="0.3">
      <c r="B797" s="4"/>
      <c r="C797" s="5"/>
      <c r="D797" s="5"/>
      <c r="E797" s="5"/>
      <c r="F797" s="5"/>
      <c r="G797" s="5"/>
      <c r="H797" s="5"/>
      <c r="I797" s="5"/>
    </row>
    <row r="798" spans="2:9" x14ac:dyDescent="0.3">
      <c r="B798" s="4"/>
      <c r="C798" s="5"/>
      <c r="D798" s="5"/>
      <c r="E798" s="5"/>
      <c r="F798" s="5"/>
      <c r="G798" s="5"/>
      <c r="H798" s="5"/>
      <c r="I798" s="5"/>
    </row>
    <row r="799" spans="2:9" x14ac:dyDescent="0.3">
      <c r="B799" s="4"/>
      <c r="C799" s="5"/>
      <c r="D799" s="5"/>
      <c r="E799" s="5"/>
      <c r="F799" s="5"/>
      <c r="G799" s="5"/>
      <c r="H799" s="5"/>
      <c r="I799" s="5"/>
    </row>
    <row r="800" spans="2:9" x14ac:dyDescent="0.3">
      <c r="B800" s="4"/>
      <c r="C800" s="5"/>
      <c r="D800" s="5"/>
      <c r="E800" s="5"/>
      <c r="F800" s="5"/>
      <c r="G800" s="5"/>
      <c r="H800" s="5"/>
      <c r="I800" s="5"/>
    </row>
    <row r="801" spans="2:9" x14ac:dyDescent="0.3">
      <c r="B801" s="4"/>
      <c r="C801" s="5"/>
      <c r="D801" s="5"/>
      <c r="E801" s="5"/>
      <c r="F801" s="5"/>
      <c r="G801" s="5"/>
      <c r="H801" s="5"/>
      <c r="I801" s="5"/>
    </row>
    <row r="802" spans="2:9" x14ac:dyDescent="0.3">
      <c r="B802" s="4"/>
      <c r="C802" s="5"/>
      <c r="D802" s="5"/>
      <c r="E802" s="5"/>
      <c r="F802" s="5"/>
      <c r="G802" s="5"/>
      <c r="H802" s="5"/>
      <c r="I802" s="5"/>
    </row>
    <row r="803" spans="2:9" x14ac:dyDescent="0.3">
      <c r="B803" s="4"/>
      <c r="C803" s="5"/>
      <c r="D803" s="5"/>
      <c r="E803" s="5"/>
      <c r="F803" s="5"/>
      <c r="G803" s="5"/>
      <c r="H803" s="5"/>
      <c r="I803" s="5"/>
    </row>
    <row r="804" spans="2:9" x14ac:dyDescent="0.3">
      <c r="B804" s="4"/>
      <c r="C804" s="5"/>
      <c r="D804" s="5"/>
      <c r="E804" s="5"/>
      <c r="F804" s="5"/>
      <c r="G804" s="5"/>
      <c r="H804" s="5"/>
      <c r="I804" s="5"/>
    </row>
    <row r="805" spans="2:9" x14ac:dyDescent="0.3">
      <c r="B805" s="4"/>
      <c r="C805" s="5"/>
      <c r="D805" s="5"/>
      <c r="E805" s="5"/>
      <c r="F805" s="5"/>
      <c r="G805" s="5"/>
      <c r="H805" s="5"/>
      <c r="I805" s="5"/>
    </row>
    <row r="806" spans="2:9" x14ac:dyDescent="0.3">
      <c r="B806" s="4"/>
      <c r="C806" s="5"/>
      <c r="D806" s="5"/>
      <c r="E806" s="5"/>
      <c r="F806" s="5"/>
      <c r="G806" s="5"/>
      <c r="H806" s="5"/>
      <c r="I806" s="5"/>
    </row>
    <row r="807" spans="2:9" x14ac:dyDescent="0.3">
      <c r="B807" s="4"/>
      <c r="C807" s="5"/>
      <c r="D807" s="5"/>
      <c r="E807" s="5"/>
      <c r="F807" s="5"/>
      <c r="G807" s="5"/>
      <c r="H807" s="5"/>
      <c r="I807" s="5"/>
    </row>
    <row r="808" spans="2:9" x14ac:dyDescent="0.3">
      <c r="B808" s="4"/>
      <c r="C808" s="5"/>
      <c r="D808" s="5"/>
      <c r="E808" s="5"/>
      <c r="F808" s="5"/>
      <c r="G808" s="5"/>
      <c r="H808" s="5"/>
      <c r="I808" s="5"/>
    </row>
    <row r="809" spans="2:9" x14ac:dyDescent="0.3">
      <c r="B809" s="4"/>
      <c r="C809" s="5"/>
      <c r="D809" s="5"/>
      <c r="E809" s="5"/>
      <c r="F809" s="5"/>
      <c r="G809" s="5"/>
      <c r="H809" s="5"/>
      <c r="I809" s="5"/>
    </row>
    <row r="810" spans="2:9" x14ac:dyDescent="0.3">
      <c r="B810" s="4"/>
      <c r="C810" s="5"/>
      <c r="D810" s="5"/>
      <c r="E810" s="5"/>
      <c r="F810" s="5"/>
      <c r="G810" s="5"/>
      <c r="H810" s="5"/>
      <c r="I810" s="5"/>
    </row>
    <row r="811" spans="2:9" x14ac:dyDescent="0.3">
      <c r="B811" s="4"/>
      <c r="C811" s="5"/>
      <c r="D811" s="5"/>
      <c r="E811" s="5"/>
      <c r="F811" s="5"/>
      <c r="G811" s="5"/>
      <c r="H811" s="5"/>
      <c r="I811" s="5"/>
    </row>
    <row r="812" spans="2:9" x14ac:dyDescent="0.3">
      <c r="B812" s="4"/>
      <c r="C812" s="5"/>
      <c r="D812" s="5"/>
      <c r="E812" s="5"/>
      <c r="F812" s="5"/>
      <c r="G812" s="5"/>
      <c r="H812" s="5"/>
      <c r="I812" s="5"/>
    </row>
    <row r="813" spans="2:9" x14ac:dyDescent="0.3">
      <c r="B813" s="4"/>
      <c r="C813" s="5"/>
      <c r="D813" s="5"/>
      <c r="E813" s="5"/>
      <c r="F813" s="5"/>
      <c r="G813" s="5"/>
      <c r="H813" s="5"/>
      <c r="I813" s="5"/>
    </row>
    <row r="814" spans="2:9" x14ac:dyDescent="0.3">
      <c r="B814" s="4"/>
      <c r="C814" s="5"/>
      <c r="D814" s="5"/>
      <c r="E814" s="5"/>
      <c r="F814" s="5"/>
      <c r="G814" s="5"/>
      <c r="H814" s="5"/>
      <c r="I814" s="5"/>
    </row>
    <row r="815" spans="2:9" x14ac:dyDescent="0.3">
      <c r="B815" s="4"/>
      <c r="C815" s="5"/>
      <c r="D815" s="5"/>
      <c r="E815" s="5"/>
      <c r="F815" s="5"/>
      <c r="G815" s="5"/>
      <c r="H815" s="5"/>
      <c r="I815" s="5"/>
    </row>
    <row r="816" spans="2:9" x14ac:dyDescent="0.3">
      <c r="B816" s="4"/>
      <c r="C816" s="5"/>
      <c r="D816" s="5"/>
      <c r="E816" s="5"/>
      <c r="F816" s="5"/>
      <c r="G816" s="5"/>
      <c r="H816" s="5"/>
      <c r="I816" s="5"/>
    </row>
    <row r="817" spans="2:9" x14ac:dyDescent="0.3">
      <c r="B817" s="4"/>
      <c r="C817" s="5"/>
      <c r="D817" s="5"/>
      <c r="E817" s="5"/>
      <c r="F817" s="5"/>
      <c r="G817" s="5"/>
      <c r="H817" s="5"/>
      <c r="I817" s="5"/>
    </row>
    <row r="818" spans="2:9" x14ac:dyDescent="0.3">
      <c r="B818" s="4"/>
      <c r="C818" s="5"/>
      <c r="D818" s="5"/>
      <c r="E818" s="5"/>
      <c r="F818" s="5"/>
      <c r="G818" s="5"/>
      <c r="H818" s="5"/>
      <c r="I818" s="5"/>
    </row>
    <row r="819" spans="2:9" x14ac:dyDescent="0.3">
      <c r="B819" s="4"/>
      <c r="C819" s="5"/>
      <c r="D819" s="5"/>
      <c r="E819" s="5"/>
      <c r="F819" s="5"/>
      <c r="G819" s="5"/>
      <c r="H819" s="5"/>
      <c r="I819" s="5"/>
    </row>
    <row r="820" spans="2:9" x14ac:dyDescent="0.3">
      <c r="B820" s="4"/>
      <c r="C820" s="5"/>
      <c r="D820" s="5"/>
      <c r="E820" s="5"/>
      <c r="F820" s="5"/>
      <c r="G820" s="5"/>
      <c r="H820" s="5"/>
      <c r="I820" s="5"/>
    </row>
    <row r="821" spans="2:9" x14ac:dyDescent="0.3">
      <c r="B821" s="4"/>
      <c r="C821" s="5"/>
      <c r="D821" s="5"/>
      <c r="E821" s="5"/>
      <c r="F821" s="5"/>
      <c r="G821" s="5"/>
      <c r="H821" s="5"/>
      <c r="I821" s="5"/>
    </row>
    <row r="822" spans="2:9" x14ac:dyDescent="0.3">
      <c r="B822" s="4"/>
      <c r="C822" s="5"/>
      <c r="D822" s="5"/>
      <c r="E822" s="5"/>
      <c r="F822" s="5"/>
      <c r="G822" s="5"/>
      <c r="H822" s="5"/>
      <c r="I822" s="5"/>
    </row>
    <row r="823" spans="2:9" x14ac:dyDescent="0.3">
      <c r="B823" s="4"/>
      <c r="C823" s="5"/>
      <c r="D823" s="5"/>
      <c r="E823" s="5"/>
      <c r="F823" s="5"/>
      <c r="G823" s="5"/>
      <c r="H823" s="5"/>
      <c r="I823" s="5"/>
    </row>
    <row r="824" spans="2:9" x14ac:dyDescent="0.3">
      <c r="B824" s="4"/>
      <c r="C824" s="5"/>
      <c r="D824" s="5"/>
      <c r="E824" s="5"/>
      <c r="F824" s="5"/>
      <c r="G824" s="5"/>
      <c r="H824" s="5"/>
      <c r="I824" s="5"/>
    </row>
    <row r="825" spans="2:9" x14ac:dyDescent="0.3">
      <c r="B825" s="4"/>
      <c r="C825" s="5"/>
      <c r="D825" s="5"/>
      <c r="E825" s="5"/>
      <c r="F825" s="5"/>
      <c r="G825" s="5"/>
      <c r="H825" s="5"/>
      <c r="I825" s="5"/>
    </row>
    <row r="826" spans="2:9" x14ac:dyDescent="0.3">
      <c r="B826" s="4"/>
      <c r="C826" s="5"/>
      <c r="D826" s="5"/>
      <c r="E826" s="5"/>
      <c r="F826" s="5"/>
      <c r="G826" s="5"/>
      <c r="H826" s="5"/>
      <c r="I826" s="5"/>
    </row>
    <row r="827" spans="2:9" x14ac:dyDescent="0.3">
      <c r="B827" s="4"/>
      <c r="C827" s="5"/>
      <c r="D827" s="5"/>
      <c r="E827" s="5"/>
      <c r="F827" s="5"/>
      <c r="G827" s="5"/>
      <c r="H827" s="5"/>
      <c r="I827" s="5"/>
    </row>
    <row r="828" spans="2:9" x14ac:dyDescent="0.3">
      <c r="B828" s="4"/>
      <c r="C828" s="5"/>
      <c r="D828" s="5"/>
      <c r="E828" s="5"/>
      <c r="F828" s="5"/>
      <c r="G828" s="5"/>
      <c r="H828" s="5"/>
      <c r="I828" s="5"/>
    </row>
    <row r="829" spans="2:9" x14ac:dyDescent="0.3">
      <c r="B829" s="4"/>
      <c r="C829" s="5"/>
      <c r="D829" s="5"/>
      <c r="E829" s="5"/>
      <c r="F829" s="5"/>
      <c r="G829" s="5"/>
      <c r="H829" s="5"/>
      <c r="I829" s="5"/>
    </row>
    <row r="830" spans="2:9" x14ac:dyDescent="0.3">
      <c r="B830" s="4"/>
      <c r="C830" s="5"/>
      <c r="D830" s="5"/>
      <c r="E830" s="5"/>
      <c r="F830" s="5"/>
      <c r="G830" s="5"/>
      <c r="H830" s="5"/>
      <c r="I830" s="5"/>
    </row>
    <row r="831" spans="2:9" x14ac:dyDescent="0.3">
      <c r="B831" s="4"/>
      <c r="C831" s="5"/>
      <c r="D831" s="5"/>
      <c r="E831" s="5"/>
      <c r="F831" s="5"/>
      <c r="G831" s="5"/>
      <c r="H831" s="5"/>
      <c r="I831" s="5"/>
    </row>
    <row r="832" spans="2:9" x14ac:dyDescent="0.3">
      <c r="B832" s="4"/>
      <c r="C832" s="5"/>
      <c r="D832" s="5"/>
      <c r="E832" s="5"/>
      <c r="F832" s="5"/>
      <c r="G832" s="5"/>
      <c r="H832" s="5"/>
      <c r="I832" s="5"/>
    </row>
    <row r="833" spans="2:9" x14ac:dyDescent="0.3">
      <c r="B833" s="4"/>
      <c r="C833" s="5"/>
      <c r="D833" s="5"/>
      <c r="E833" s="5"/>
      <c r="F833" s="5"/>
      <c r="G833" s="5"/>
      <c r="H833" s="5"/>
      <c r="I833" s="5"/>
    </row>
    <row r="834" spans="2:9" x14ac:dyDescent="0.3">
      <c r="B834" s="4"/>
      <c r="C834" s="5"/>
      <c r="D834" s="5"/>
      <c r="E834" s="5"/>
      <c r="F834" s="5"/>
      <c r="G834" s="5"/>
      <c r="H834" s="5"/>
      <c r="I834" s="5"/>
    </row>
    <row r="835" spans="2:9" x14ac:dyDescent="0.3">
      <c r="B835" s="4"/>
      <c r="C835" s="5"/>
      <c r="D835" s="5"/>
      <c r="E835" s="5"/>
      <c r="F835" s="5"/>
      <c r="G835" s="5"/>
      <c r="H835" s="5"/>
      <c r="I835" s="5"/>
    </row>
    <row r="836" spans="2:9" x14ac:dyDescent="0.3">
      <c r="B836" s="4"/>
      <c r="C836" s="5"/>
      <c r="D836" s="5"/>
      <c r="E836" s="5"/>
      <c r="F836" s="5"/>
      <c r="G836" s="5"/>
      <c r="H836" s="5"/>
      <c r="I836" s="5"/>
    </row>
    <row r="837" spans="2:9" x14ac:dyDescent="0.3">
      <c r="B837" s="4"/>
      <c r="C837" s="5"/>
      <c r="D837" s="5"/>
      <c r="E837" s="5"/>
      <c r="F837" s="5"/>
      <c r="G837" s="5"/>
      <c r="H837" s="5"/>
      <c r="I837" s="5"/>
    </row>
    <row r="838" spans="2:9" x14ac:dyDescent="0.3">
      <c r="B838" s="4"/>
      <c r="C838" s="5"/>
      <c r="D838" s="5"/>
      <c r="E838" s="5"/>
      <c r="F838" s="5"/>
      <c r="G838" s="5"/>
      <c r="H838" s="5"/>
      <c r="I838" s="5"/>
    </row>
    <row r="839" spans="2:9" x14ac:dyDescent="0.3">
      <c r="B839" s="4"/>
      <c r="C839" s="5"/>
      <c r="D839" s="5"/>
      <c r="E839" s="5"/>
      <c r="F839" s="5"/>
      <c r="G839" s="5"/>
      <c r="H839" s="5"/>
      <c r="I839" s="5"/>
    </row>
    <row r="840" spans="2:9" x14ac:dyDescent="0.3">
      <c r="B840" s="4"/>
      <c r="C840" s="5"/>
      <c r="D840" s="5"/>
      <c r="E840" s="5"/>
      <c r="F840" s="5"/>
      <c r="G840" s="5"/>
      <c r="H840" s="5"/>
      <c r="I840" s="5"/>
    </row>
    <row r="841" spans="2:9" x14ac:dyDescent="0.3">
      <c r="B841" s="4"/>
      <c r="C841" s="5"/>
      <c r="D841" s="5"/>
      <c r="E841" s="5"/>
      <c r="F841" s="5"/>
      <c r="G841" s="5"/>
      <c r="H841" s="5"/>
      <c r="I841" s="5"/>
    </row>
    <row r="842" spans="2:9" x14ac:dyDescent="0.3">
      <c r="B842" s="4"/>
      <c r="C842" s="5"/>
      <c r="D842" s="5"/>
      <c r="E842" s="5"/>
      <c r="F842" s="5"/>
      <c r="G842" s="5"/>
      <c r="H842" s="5"/>
      <c r="I842" s="5"/>
    </row>
    <row r="843" spans="2:9" x14ac:dyDescent="0.3">
      <c r="B843" s="4"/>
      <c r="C843" s="5"/>
      <c r="D843" s="5"/>
      <c r="E843" s="5"/>
      <c r="F843" s="5"/>
      <c r="G843" s="5"/>
      <c r="H843" s="5"/>
      <c r="I843" s="5"/>
    </row>
    <row r="844" spans="2:9" x14ac:dyDescent="0.3">
      <c r="B844" s="4"/>
      <c r="C844" s="5"/>
      <c r="D844" s="5"/>
      <c r="E844" s="5"/>
      <c r="F844" s="5"/>
      <c r="G844" s="5"/>
      <c r="H844" s="5"/>
      <c r="I844" s="5"/>
    </row>
    <row r="845" spans="2:9" x14ac:dyDescent="0.3">
      <c r="B845" s="4"/>
      <c r="C845" s="5"/>
      <c r="D845" s="5"/>
      <c r="E845" s="5"/>
      <c r="F845" s="5"/>
      <c r="G845" s="5"/>
      <c r="H845" s="5"/>
      <c r="I845" s="5"/>
    </row>
    <row r="846" spans="2:9" x14ac:dyDescent="0.3">
      <c r="B846" s="4"/>
      <c r="C846" s="5"/>
      <c r="D846" s="5"/>
      <c r="E846" s="5"/>
      <c r="F846" s="5"/>
      <c r="G846" s="5"/>
      <c r="H846" s="5"/>
      <c r="I846" s="5"/>
    </row>
    <row r="847" spans="2:9" x14ac:dyDescent="0.3">
      <c r="B847" s="4"/>
      <c r="C847" s="5"/>
      <c r="D847" s="5"/>
      <c r="E847" s="5"/>
      <c r="F847" s="5"/>
      <c r="G847" s="5"/>
      <c r="H847" s="5"/>
      <c r="I847" s="5"/>
    </row>
    <row r="848" spans="2:9" x14ac:dyDescent="0.3">
      <c r="B848" s="4"/>
      <c r="C848" s="5"/>
      <c r="D848" s="5"/>
      <c r="E848" s="5"/>
      <c r="F848" s="5"/>
      <c r="G848" s="5"/>
      <c r="H848" s="5"/>
      <c r="I848" s="5"/>
    </row>
    <row r="849" spans="2:9" x14ac:dyDescent="0.3">
      <c r="B849" s="4"/>
      <c r="C849" s="5"/>
      <c r="D849" s="5"/>
      <c r="E849" s="5"/>
      <c r="F849" s="5"/>
      <c r="G849" s="5"/>
      <c r="H849" s="5"/>
      <c r="I849" s="5"/>
    </row>
    <row r="850" spans="2:9" x14ac:dyDescent="0.3">
      <c r="B850" s="4"/>
      <c r="C850" s="5"/>
      <c r="D850" s="5"/>
      <c r="E850" s="5"/>
      <c r="F850" s="5"/>
      <c r="G850" s="5"/>
      <c r="H850" s="5"/>
      <c r="I850" s="5"/>
    </row>
    <row r="851" spans="2:9" x14ac:dyDescent="0.3">
      <c r="B851" s="4"/>
      <c r="C851" s="5"/>
      <c r="D851" s="5"/>
      <c r="E851" s="5"/>
      <c r="F851" s="5"/>
      <c r="G851" s="5"/>
      <c r="H851" s="5"/>
      <c r="I851" s="5"/>
    </row>
    <row r="852" spans="2:9" x14ac:dyDescent="0.3">
      <c r="B852" s="4"/>
      <c r="C852" s="5"/>
      <c r="D852" s="5"/>
      <c r="E852" s="5"/>
      <c r="F852" s="5"/>
      <c r="G852" s="5"/>
      <c r="H852" s="5"/>
      <c r="I852" s="5"/>
    </row>
    <row r="853" spans="2:9" x14ac:dyDescent="0.3">
      <c r="B853" s="4"/>
      <c r="C853" s="5"/>
      <c r="D853" s="5"/>
      <c r="E853" s="5"/>
      <c r="F853" s="5"/>
      <c r="G853" s="5"/>
      <c r="H853" s="5"/>
      <c r="I853" s="5"/>
    </row>
    <row r="854" spans="2:9" x14ac:dyDescent="0.3">
      <c r="B854" s="4"/>
      <c r="C854" s="5"/>
      <c r="D854" s="5"/>
      <c r="E854" s="5"/>
      <c r="F854" s="5"/>
      <c r="G854" s="5"/>
      <c r="H854" s="5"/>
      <c r="I854" s="5"/>
    </row>
    <row r="855" spans="2:9" x14ac:dyDescent="0.3">
      <c r="B855" s="4"/>
      <c r="C855" s="5"/>
      <c r="D855" s="5"/>
      <c r="E855" s="5"/>
      <c r="F855" s="5"/>
      <c r="G855" s="5"/>
      <c r="H855" s="5"/>
      <c r="I855" s="5"/>
    </row>
    <row r="856" spans="2:9" x14ac:dyDescent="0.3">
      <c r="B856" s="4"/>
      <c r="C856" s="5"/>
      <c r="D856" s="5"/>
      <c r="E856" s="5"/>
      <c r="F856" s="5"/>
      <c r="G856" s="5"/>
      <c r="H856" s="5"/>
      <c r="I856" s="5"/>
    </row>
    <row r="857" spans="2:9" x14ac:dyDescent="0.3">
      <c r="B857" s="4"/>
      <c r="C857" s="5"/>
      <c r="D857" s="5"/>
      <c r="E857" s="5"/>
      <c r="F857" s="5"/>
      <c r="G857" s="5"/>
      <c r="H857" s="5"/>
      <c r="I857" s="5"/>
    </row>
    <row r="858" spans="2:9" x14ac:dyDescent="0.3">
      <c r="B858" s="4"/>
      <c r="C858" s="5"/>
      <c r="D858" s="5"/>
      <c r="E858" s="5"/>
      <c r="F858" s="5"/>
      <c r="G858" s="5"/>
      <c r="H858" s="5"/>
      <c r="I858" s="5"/>
    </row>
    <row r="859" spans="2:9" x14ac:dyDescent="0.3">
      <c r="B859" s="4"/>
      <c r="C859" s="5"/>
      <c r="D859" s="5"/>
      <c r="E859" s="5"/>
      <c r="F859" s="5"/>
      <c r="G859" s="5"/>
      <c r="H859" s="5"/>
      <c r="I859" s="5"/>
    </row>
    <row r="860" spans="2:9" x14ac:dyDescent="0.3">
      <c r="B860" s="4"/>
      <c r="C860" s="5"/>
      <c r="D860" s="5"/>
      <c r="E860" s="5"/>
      <c r="F860" s="5"/>
      <c r="G860" s="5"/>
      <c r="H860" s="5"/>
      <c r="I860" s="5"/>
    </row>
    <row r="861" spans="2:9" x14ac:dyDescent="0.3">
      <c r="B861" s="4"/>
      <c r="C861" s="5"/>
      <c r="D861" s="5"/>
      <c r="E861" s="5"/>
      <c r="F861" s="5"/>
      <c r="G861" s="5"/>
      <c r="H861" s="5"/>
      <c r="I861" s="5"/>
    </row>
    <row r="862" spans="2:9" x14ac:dyDescent="0.3">
      <c r="B862" s="4"/>
      <c r="C862" s="5"/>
      <c r="D862" s="5"/>
      <c r="E862" s="5"/>
      <c r="F862" s="5"/>
      <c r="G862" s="5"/>
      <c r="H862" s="5"/>
      <c r="I862" s="5"/>
    </row>
    <row r="863" spans="2:9" x14ac:dyDescent="0.3">
      <c r="B863" s="4"/>
      <c r="C863" s="5"/>
      <c r="D863" s="5"/>
      <c r="E863" s="5"/>
      <c r="F863" s="5"/>
      <c r="G863" s="5"/>
      <c r="H863" s="5"/>
      <c r="I863" s="5"/>
    </row>
    <row r="864" spans="2:9" x14ac:dyDescent="0.3">
      <c r="B864" s="4"/>
      <c r="C864" s="5"/>
      <c r="D864" s="5"/>
      <c r="E864" s="5"/>
      <c r="F864" s="5"/>
      <c r="G864" s="5"/>
      <c r="H864" s="5"/>
      <c r="I864" s="5"/>
    </row>
    <row r="865" spans="2:9" x14ac:dyDescent="0.3">
      <c r="B865" s="4"/>
      <c r="C865" s="5"/>
      <c r="D865" s="5"/>
      <c r="E865" s="5"/>
      <c r="F865" s="5"/>
      <c r="G865" s="5"/>
      <c r="H865" s="5"/>
      <c r="I865" s="5"/>
    </row>
    <row r="866" spans="2:9" x14ac:dyDescent="0.3">
      <c r="B866" s="4"/>
      <c r="C866" s="5"/>
      <c r="D866" s="5"/>
      <c r="E866" s="5"/>
      <c r="F866" s="5"/>
      <c r="G866" s="5"/>
      <c r="H866" s="5"/>
      <c r="I866" s="5"/>
    </row>
    <row r="867" spans="2:9" x14ac:dyDescent="0.3">
      <c r="B867" s="4"/>
      <c r="C867" s="5"/>
      <c r="D867" s="5"/>
      <c r="E867" s="5"/>
      <c r="F867" s="5"/>
      <c r="G867" s="5"/>
      <c r="H867" s="5"/>
      <c r="I867" s="5"/>
    </row>
    <row r="868" spans="2:9" x14ac:dyDescent="0.3">
      <c r="B868" s="4"/>
      <c r="C868" s="5"/>
      <c r="D868" s="5"/>
      <c r="E868" s="5"/>
      <c r="F868" s="5"/>
      <c r="G868" s="5"/>
      <c r="H868" s="5"/>
      <c r="I868" s="5"/>
    </row>
    <row r="869" spans="2:9" x14ac:dyDescent="0.3">
      <c r="B869" s="4"/>
      <c r="C869" s="5"/>
      <c r="D869" s="5"/>
      <c r="E869" s="5"/>
      <c r="F869" s="5"/>
      <c r="G869" s="5"/>
      <c r="H869" s="5"/>
      <c r="I869" s="5"/>
    </row>
    <row r="870" spans="2:9" x14ac:dyDescent="0.3">
      <c r="B870" s="4"/>
      <c r="C870" s="5"/>
      <c r="D870" s="5"/>
      <c r="E870" s="5"/>
      <c r="F870" s="5"/>
      <c r="G870" s="5"/>
      <c r="H870" s="5"/>
      <c r="I870" s="5"/>
    </row>
    <row r="871" spans="2:9" x14ac:dyDescent="0.3">
      <c r="B871" s="4"/>
      <c r="C871" s="5"/>
      <c r="D871" s="5"/>
      <c r="E871" s="5"/>
      <c r="F871" s="5"/>
      <c r="G871" s="5"/>
      <c r="H871" s="5"/>
      <c r="I871" s="5"/>
    </row>
    <row r="872" spans="2:9" x14ac:dyDescent="0.3">
      <c r="B872" s="4"/>
      <c r="C872" s="5"/>
      <c r="D872" s="5"/>
      <c r="E872" s="5"/>
      <c r="F872" s="5"/>
      <c r="G872" s="5"/>
      <c r="H872" s="5"/>
      <c r="I872" s="5"/>
    </row>
    <row r="873" spans="2:9" x14ac:dyDescent="0.3">
      <c r="B873" s="4"/>
      <c r="C873" s="5"/>
      <c r="D873" s="5"/>
      <c r="E873" s="5"/>
      <c r="F873" s="5"/>
      <c r="G873" s="5"/>
      <c r="H873" s="5"/>
      <c r="I873" s="5"/>
    </row>
    <row r="874" spans="2:9" x14ac:dyDescent="0.3">
      <c r="B874" s="4"/>
      <c r="C874" s="5"/>
      <c r="D874" s="5"/>
      <c r="E874" s="5"/>
      <c r="F874" s="5"/>
      <c r="G874" s="5"/>
      <c r="H874" s="5"/>
      <c r="I874" s="5"/>
    </row>
    <row r="875" spans="2:9" x14ac:dyDescent="0.3">
      <c r="B875" s="4"/>
      <c r="C875" s="5"/>
      <c r="D875" s="5"/>
      <c r="E875" s="5"/>
      <c r="F875" s="5"/>
      <c r="G875" s="5"/>
      <c r="H875" s="5"/>
      <c r="I875" s="5"/>
    </row>
    <row r="876" spans="2:9" x14ac:dyDescent="0.3">
      <c r="B876" s="4"/>
      <c r="C876" s="5"/>
      <c r="D876" s="5"/>
      <c r="E876" s="5"/>
      <c r="F876" s="5"/>
      <c r="G876" s="5"/>
      <c r="H876" s="5"/>
      <c r="I876" s="5"/>
    </row>
    <row r="877" spans="2:9" x14ac:dyDescent="0.3">
      <c r="B877" s="4"/>
      <c r="C877" s="5"/>
      <c r="D877" s="5"/>
      <c r="E877" s="5"/>
      <c r="F877" s="5"/>
      <c r="G877" s="5"/>
      <c r="H877" s="5"/>
      <c r="I877" s="5"/>
    </row>
    <row r="878" spans="2:9" x14ac:dyDescent="0.3">
      <c r="B878" s="4"/>
      <c r="C878" s="5"/>
      <c r="D878" s="5"/>
      <c r="E878" s="5"/>
      <c r="F878" s="5"/>
      <c r="G878" s="5"/>
      <c r="H878" s="5"/>
      <c r="I878" s="5"/>
    </row>
    <row r="879" spans="2:9" x14ac:dyDescent="0.3">
      <c r="B879" s="4"/>
      <c r="C879" s="5"/>
      <c r="D879" s="5"/>
      <c r="E879" s="5"/>
      <c r="F879" s="5"/>
      <c r="G879" s="5"/>
      <c r="H879" s="5"/>
      <c r="I879" s="5"/>
    </row>
    <row r="880" spans="2:9" x14ac:dyDescent="0.3">
      <c r="B880" s="4"/>
      <c r="C880" s="5"/>
      <c r="D880" s="5"/>
      <c r="E880" s="5"/>
      <c r="F880" s="5"/>
      <c r="G880" s="5"/>
      <c r="H880" s="5"/>
      <c r="I880" s="5"/>
    </row>
    <row r="881" spans="2:9" x14ac:dyDescent="0.3">
      <c r="B881" s="4"/>
      <c r="C881" s="5"/>
      <c r="D881" s="5"/>
      <c r="E881" s="5"/>
      <c r="F881" s="5"/>
      <c r="G881" s="5"/>
      <c r="H881" s="5"/>
      <c r="I881" s="5"/>
    </row>
    <row r="882" spans="2:9" x14ac:dyDescent="0.3">
      <c r="B882" s="4"/>
      <c r="C882" s="5"/>
      <c r="D882" s="5"/>
      <c r="E882" s="5"/>
      <c r="F882" s="5"/>
      <c r="G882" s="5"/>
      <c r="H882" s="5"/>
      <c r="I882" s="5"/>
    </row>
    <row r="883" spans="2:9" x14ac:dyDescent="0.3">
      <c r="B883" s="4"/>
      <c r="C883" s="5"/>
      <c r="D883" s="5"/>
      <c r="E883" s="5"/>
      <c r="F883" s="5"/>
      <c r="G883" s="5"/>
      <c r="H883" s="5"/>
      <c r="I883" s="5"/>
    </row>
    <row r="884" spans="2:9" x14ac:dyDescent="0.3">
      <c r="B884" s="4"/>
      <c r="C884" s="5"/>
      <c r="D884" s="5"/>
      <c r="E884" s="5"/>
      <c r="F884" s="5"/>
      <c r="G884" s="5"/>
      <c r="H884" s="5"/>
      <c r="I884" s="5"/>
    </row>
    <row r="885" spans="2:9" x14ac:dyDescent="0.3">
      <c r="B885" s="4"/>
      <c r="C885" s="5"/>
      <c r="D885" s="5"/>
      <c r="E885" s="5"/>
      <c r="F885" s="5"/>
      <c r="G885" s="5"/>
      <c r="H885" s="5"/>
      <c r="I885" s="5"/>
    </row>
    <row r="886" spans="2:9" x14ac:dyDescent="0.3">
      <c r="B886" s="4"/>
      <c r="C886" s="5"/>
      <c r="D886" s="5"/>
      <c r="E886" s="5"/>
      <c r="F886" s="5"/>
      <c r="G886" s="5"/>
      <c r="H886" s="5"/>
      <c r="I886" s="5"/>
    </row>
    <row r="887" spans="2:9" x14ac:dyDescent="0.3">
      <c r="B887" s="4"/>
      <c r="C887" s="5"/>
      <c r="D887" s="5"/>
      <c r="E887" s="5"/>
      <c r="F887" s="5"/>
      <c r="G887" s="5"/>
      <c r="H887" s="5"/>
      <c r="I887" s="5"/>
    </row>
    <row r="888" spans="2:9" x14ac:dyDescent="0.3">
      <c r="B888" s="4"/>
      <c r="C888" s="5"/>
      <c r="D888" s="5"/>
      <c r="E888" s="5"/>
      <c r="F888" s="5"/>
      <c r="G888" s="5"/>
      <c r="H888" s="5"/>
      <c r="I888" s="5"/>
    </row>
    <row r="889" spans="2:9" x14ac:dyDescent="0.3">
      <c r="B889" s="4"/>
      <c r="C889" s="5"/>
      <c r="D889" s="5"/>
      <c r="E889" s="5"/>
      <c r="F889" s="5"/>
      <c r="G889" s="5"/>
      <c r="H889" s="5"/>
      <c r="I889" s="5"/>
    </row>
    <row r="890" spans="2:9" x14ac:dyDescent="0.3">
      <c r="B890" s="4"/>
      <c r="C890" s="5"/>
      <c r="D890" s="5"/>
      <c r="E890" s="5"/>
      <c r="F890" s="5"/>
      <c r="G890" s="5"/>
      <c r="H890" s="5"/>
      <c r="I890" s="5"/>
    </row>
    <row r="891" spans="2:9" x14ac:dyDescent="0.3">
      <c r="B891" s="4"/>
      <c r="C891" s="5"/>
      <c r="D891" s="5"/>
      <c r="E891" s="5"/>
      <c r="F891" s="5"/>
      <c r="G891" s="5"/>
      <c r="H891" s="5"/>
      <c r="I891" s="5"/>
    </row>
    <row r="892" spans="2:9" x14ac:dyDescent="0.3">
      <c r="B892" s="4"/>
      <c r="C892" s="5"/>
      <c r="D892" s="5"/>
      <c r="E892" s="5"/>
      <c r="F892" s="5"/>
      <c r="G892" s="5"/>
      <c r="H892" s="5"/>
      <c r="I892" s="5"/>
    </row>
    <row r="893" spans="2:9" x14ac:dyDescent="0.3">
      <c r="B893" s="4"/>
      <c r="C893" s="5"/>
      <c r="D893" s="5"/>
      <c r="E893" s="5"/>
      <c r="F893" s="5"/>
      <c r="G893" s="5"/>
      <c r="H893" s="5"/>
      <c r="I893" s="5"/>
    </row>
    <row r="894" spans="2:9" x14ac:dyDescent="0.3">
      <c r="B894" s="4"/>
      <c r="C894" s="5"/>
      <c r="D894" s="5"/>
      <c r="E894" s="5"/>
      <c r="F894" s="5"/>
      <c r="G894" s="5"/>
      <c r="H894" s="5"/>
      <c r="I894" s="5"/>
    </row>
    <row r="895" spans="2:9" x14ac:dyDescent="0.3">
      <c r="B895" s="4"/>
      <c r="C895" s="5"/>
      <c r="D895" s="5"/>
      <c r="E895" s="5"/>
      <c r="F895" s="5"/>
      <c r="G895" s="5"/>
      <c r="H895" s="5"/>
      <c r="I895" s="5"/>
    </row>
    <row r="896" spans="2:9" x14ac:dyDescent="0.3">
      <c r="B896" s="4"/>
      <c r="C896" s="5"/>
      <c r="D896" s="5"/>
      <c r="E896" s="5"/>
      <c r="F896" s="5"/>
      <c r="G896" s="5"/>
      <c r="H896" s="5"/>
      <c r="I896" s="5"/>
    </row>
    <row r="897" spans="2:9" x14ac:dyDescent="0.3">
      <c r="B897" s="4"/>
      <c r="C897" s="5"/>
      <c r="D897" s="5"/>
      <c r="E897" s="5"/>
      <c r="F897" s="5"/>
      <c r="G897" s="5"/>
      <c r="H897" s="5"/>
      <c r="I897" s="5"/>
    </row>
    <row r="898" spans="2:9" x14ac:dyDescent="0.3">
      <c r="B898" s="4"/>
      <c r="C898" s="5"/>
      <c r="D898" s="5"/>
      <c r="E898" s="5"/>
      <c r="F898" s="5"/>
      <c r="G898" s="5"/>
      <c r="H898" s="5"/>
      <c r="I898" s="5"/>
    </row>
    <row r="899" spans="2:9" x14ac:dyDescent="0.3">
      <c r="B899" s="4"/>
      <c r="C899" s="5"/>
      <c r="D899" s="5"/>
      <c r="E899" s="5"/>
      <c r="F899" s="5"/>
      <c r="G899" s="5"/>
      <c r="H899" s="5"/>
      <c r="I899" s="5"/>
    </row>
    <row r="900" spans="2:9" x14ac:dyDescent="0.3">
      <c r="B900" s="4"/>
      <c r="C900" s="5"/>
      <c r="D900" s="5"/>
      <c r="E900" s="5"/>
      <c r="F900" s="5"/>
      <c r="G900" s="5"/>
      <c r="H900" s="5"/>
      <c r="I900" s="5"/>
    </row>
    <row r="901" spans="2:9" x14ac:dyDescent="0.3">
      <c r="B901" s="4"/>
      <c r="C901" s="5"/>
      <c r="D901" s="5"/>
      <c r="E901" s="5"/>
      <c r="F901" s="5"/>
      <c r="G901" s="5"/>
      <c r="H901" s="5"/>
      <c r="I901" s="5"/>
    </row>
    <row r="902" spans="2:9" x14ac:dyDescent="0.3">
      <c r="B902" s="4"/>
      <c r="C902" s="5"/>
      <c r="D902" s="5"/>
      <c r="E902" s="5"/>
      <c r="F902" s="5"/>
      <c r="G902" s="5"/>
      <c r="H902" s="5"/>
      <c r="I902" s="5"/>
    </row>
    <row r="903" spans="2:9" x14ac:dyDescent="0.3">
      <c r="B903" s="4"/>
      <c r="C903" s="5"/>
      <c r="D903" s="5"/>
      <c r="E903" s="5"/>
      <c r="F903" s="5"/>
      <c r="G903" s="5"/>
      <c r="H903" s="5"/>
      <c r="I903" s="5"/>
    </row>
    <row r="904" spans="2:9" x14ac:dyDescent="0.3">
      <c r="B904" s="4"/>
      <c r="C904" s="5"/>
      <c r="D904" s="5"/>
      <c r="E904" s="5"/>
      <c r="F904" s="5"/>
      <c r="G904" s="5"/>
      <c r="H904" s="5"/>
      <c r="I904" s="5"/>
    </row>
    <row r="905" spans="2:9" x14ac:dyDescent="0.3">
      <c r="B905" s="4"/>
      <c r="C905" s="5"/>
      <c r="D905" s="5"/>
      <c r="E905" s="5"/>
      <c r="F905" s="5"/>
      <c r="G905" s="5"/>
      <c r="H905" s="5"/>
      <c r="I905" s="5"/>
    </row>
    <row r="906" spans="2:9" x14ac:dyDescent="0.3">
      <c r="B906" s="4"/>
      <c r="C906" s="5"/>
      <c r="D906" s="5"/>
      <c r="E906" s="5"/>
      <c r="F906" s="5"/>
      <c r="G906" s="5"/>
      <c r="H906" s="5"/>
      <c r="I906" s="5"/>
    </row>
    <row r="907" spans="2:9" x14ac:dyDescent="0.3">
      <c r="B907" s="4"/>
      <c r="C907" s="5"/>
      <c r="D907" s="5"/>
      <c r="E907" s="5"/>
      <c r="F907" s="5"/>
      <c r="G907" s="5"/>
      <c r="H907" s="5"/>
      <c r="I907" s="5"/>
    </row>
    <row r="908" spans="2:9" x14ac:dyDescent="0.3">
      <c r="B908" s="4"/>
      <c r="C908" s="5"/>
      <c r="D908" s="5"/>
      <c r="E908" s="5"/>
      <c r="F908" s="5"/>
      <c r="G908" s="5"/>
      <c r="H908" s="5"/>
      <c r="I908" s="5"/>
    </row>
    <row r="909" spans="2:9" x14ac:dyDescent="0.3">
      <c r="B909" s="4"/>
      <c r="C909" s="5"/>
      <c r="D909" s="5"/>
      <c r="E909" s="5"/>
      <c r="F909" s="5"/>
      <c r="G909" s="5"/>
      <c r="H909" s="5"/>
      <c r="I909" s="5"/>
    </row>
    <row r="910" spans="2:9" x14ac:dyDescent="0.3">
      <c r="B910" s="4"/>
      <c r="C910" s="5"/>
      <c r="D910" s="5"/>
      <c r="E910" s="5"/>
      <c r="F910" s="5"/>
      <c r="G910" s="5"/>
      <c r="H910" s="5"/>
      <c r="I910" s="5"/>
    </row>
    <row r="911" spans="2:9" x14ac:dyDescent="0.3">
      <c r="B911" s="4"/>
      <c r="C911" s="5"/>
      <c r="D911" s="5"/>
      <c r="E911" s="5"/>
      <c r="F911" s="5"/>
      <c r="G911" s="5"/>
      <c r="H911" s="5"/>
      <c r="I911" s="5"/>
    </row>
    <row r="912" spans="2:9" x14ac:dyDescent="0.3">
      <c r="B912" s="4"/>
      <c r="C912" s="5"/>
      <c r="D912" s="5"/>
      <c r="E912" s="5"/>
      <c r="F912" s="5"/>
      <c r="G912" s="5"/>
      <c r="H912" s="5"/>
      <c r="I912" s="5"/>
    </row>
    <row r="913" spans="2:9" x14ac:dyDescent="0.3">
      <c r="B913" s="4"/>
      <c r="C913" s="5"/>
      <c r="D913" s="5"/>
      <c r="E913" s="5"/>
      <c r="F913" s="5"/>
      <c r="G913" s="5"/>
      <c r="H913" s="5"/>
      <c r="I913" s="5"/>
    </row>
    <row r="914" spans="2:9" x14ac:dyDescent="0.3">
      <c r="B914" s="4"/>
      <c r="C914" s="5"/>
      <c r="D914" s="5"/>
      <c r="E914" s="5"/>
      <c r="F914" s="5"/>
      <c r="G914" s="5"/>
      <c r="H914" s="5"/>
      <c r="I914" s="5"/>
    </row>
    <row r="915" spans="2:9" x14ac:dyDescent="0.3">
      <c r="B915" s="4"/>
      <c r="C915" s="5"/>
      <c r="D915" s="5"/>
      <c r="E915" s="5"/>
      <c r="F915" s="5"/>
      <c r="G915" s="5"/>
      <c r="H915" s="5"/>
      <c r="I915" s="5"/>
    </row>
    <row r="916" spans="2:9" x14ac:dyDescent="0.3">
      <c r="B916" s="4"/>
      <c r="C916" s="5"/>
      <c r="D916" s="5"/>
      <c r="E916" s="5"/>
      <c r="F916" s="5"/>
      <c r="G916" s="5"/>
      <c r="H916" s="5"/>
      <c r="I916" s="5"/>
    </row>
    <row r="917" spans="2:9" x14ac:dyDescent="0.3">
      <c r="B917" s="4"/>
      <c r="C917" s="5"/>
      <c r="D917" s="5"/>
      <c r="E917" s="5"/>
      <c r="F917" s="5"/>
      <c r="G917" s="5"/>
      <c r="H917" s="5"/>
      <c r="I917" s="5"/>
    </row>
    <row r="918" spans="2:9" x14ac:dyDescent="0.3">
      <c r="B918" s="4"/>
      <c r="C918" s="5"/>
      <c r="D918" s="5"/>
      <c r="E918" s="5"/>
      <c r="F918" s="5"/>
      <c r="G918" s="5"/>
      <c r="H918" s="5"/>
      <c r="I918" s="5"/>
    </row>
    <row r="919" spans="2:9" x14ac:dyDescent="0.3">
      <c r="B919" s="4"/>
      <c r="C919" s="5"/>
      <c r="D919" s="5"/>
      <c r="E919" s="5"/>
      <c r="F919" s="5"/>
      <c r="G919" s="5"/>
      <c r="H919" s="5"/>
      <c r="I919" s="5"/>
    </row>
    <row r="920" spans="2:9" x14ac:dyDescent="0.3">
      <c r="B920" s="4"/>
      <c r="C920" s="5"/>
      <c r="D920" s="5"/>
      <c r="E920" s="5"/>
      <c r="F920" s="5"/>
      <c r="G920" s="5"/>
      <c r="H920" s="5"/>
      <c r="I920" s="5"/>
    </row>
    <row r="921" spans="2:9" x14ac:dyDescent="0.3">
      <c r="B921" s="4"/>
      <c r="C921" s="5"/>
      <c r="D921" s="5"/>
      <c r="E921" s="5"/>
      <c r="F921" s="5"/>
      <c r="G921" s="5"/>
      <c r="H921" s="5"/>
      <c r="I921" s="5"/>
    </row>
    <row r="922" spans="2:9" x14ac:dyDescent="0.3">
      <c r="B922" s="4"/>
      <c r="C922" s="5"/>
      <c r="D922" s="5"/>
      <c r="E922" s="5"/>
      <c r="F922" s="5"/>
      <c r="G922" s="5"/>
      <c r="H922" s="5"/>
      <c r="I922" s="5"/>
    </row>
    <row r="923" spans="2:9" x14ac:dyDescent="0.3">
      <c r="B923" s="4"/>
      <c r="C923" s="5"/>
      <c r="D923" s="5"/>
      <c r="E923" s="5"/>
      <c r="F923" s="5"/>
      <c r="G923" s="5"/>
      <c r="H923" s="5"/>
      <c r="I923" s="5"/>
    </row>
    <row r="924" spans="2:9" x14ac:dyDescent="0.3">
      <c r="B924" s="4"/>
      <c r="C924" s="5"/>
      <c r="D924" s="5"/>
      <c r="E924" s="5"/>
      <c r="F924" s="5"/>
      <c r="G924" s="5"/>
      <c r="H924" s="5"/>
      <c r="I924" s="5"/>
    </row>
    <row r="925" spans="2:9" x14ac:dyDescent="0.3">
      <c r="B925" s="4"/>
      <c r="C925" s="5"/>
      <c r="D925" s="5"/>
      <c r="E925" s="5"/>
      <c r="F925" s="5"/>
      <c r="G925" s="5"/>
      <c r="H925" s="5"/>
      <c r="I925" s="5"/>
    </row>
    <row r="926" spans="2:9" x14ac:dyDescent="0.3">
      <c r="B926" s="4"/>
      <c r="C926" s="5"/>
      <c r="D926" s="5"/>
      <c r="E926" s="5"/>
      <c r="F926" s="5"/>
      <c r="G926" s="5"/>
      <c r="H926" s="5"/>
      <c r="I926" s="5"/>
    </row>
    <row r="927" spans="2:9" x14ac:dyDescent="0.3">
      <c r="B927" s="4"/>
      <c r="C927" s="5"/>
      <c r="D927" s="5"/>
      <c r="E927" s="5"/>
      <c r="F927" s="5"/>
      <c r="G927" s="5"/>
      <c r="H927" s="5"/>
      <c r="I927" s="5"/>
    </row>
    <row r="928" spans="2:9" x14ac:dyDescent="0.3">
      <c r="B928" s="4"/>
      <c r="C928" s="5"/>
      <c r="D928" s="5"/>
      <c r="E928" s="5"/>
      <c r="F928" s="5"/>
      <c r="G928" s="5"/>
      <c r="H928" s="5"/>
      <c r="I928" s="5"/>
    </row>
    <row r="929" spans="2:9" x14ac:dyDescent="0.3">
      <c r="B929" s="4"/>
      <c r="C929" s="5"/>
      <c r="D929" s="5"/>
      <c r="E929" s="5"/>
      <c r="F929" s="5"/>
      <c r="G929" s="5"/>
      <c r="H929" s="5"/>
      <c r="I929" s="5"/>
    </row>
    <row r="930" spans="2:9" x14ac:dyDescent="0.3">
      <c r="B930" s="4"/>
      <c r="C930" s="5"/>
      <c r="D930" s="5"/>
      <c r="E930" s="5"/>
      <c r="F930" s="5"/>
      <c r="G930" s="5"/>
      <c r="H930" s="5"/>
      <c r="I930" s="5"/>
    </row>
    <row r="931" spans="2:9" x14ac:dyDescent="0.3">
      <c r="B931" s="4"/>
      <c r="C931" s="5"/>
      <c r="D931" s="5"/>
      <c r="E931" s="5"/>
      <c r="F931" s="5"/>
      <c r="G931" s="5"/>
      <c r="H931" s="5"/>
      <c r="I931" s="5"/>
    </row>
    <row r="932" spans="2:9" x14ac:dyDescent="0.3">
      <c r="B932" s="4"/>
      <c r="C932" s="5"/>
      <c r="D932" s="5"/>
      <c r="E932" s="5"/>
      <c r="F932" s="5"/>
      <c r="G932" s="5"/>
      <c r="H932" s="5"/>
      <c r="I932" s="5"/>
    </row>
    <row r="933" spans="2:9" x14ac:dyDescent="0.3">
      <c r="B933" s="4"/>
      <c r="C933" s="5"/>
      <c r="D933" s="5"/>
      <c r="E933" s="5"/>
      <c r="F933" s="5"/>
      <c r="G933" s="5"/>
      <c r="H933" s="5"/>
      <c r="I933" s="5"/>
    </row>
    <row r="934" spans="2:9" x14ac:dyDescent="0.3">
      <c r="B934" s="4"/>
      <c r="C934" s="5"/>
      <c r="D934" s="5"/>
      <c r="E934" s="5"/>
      <c r="F934" s="5"/>
      <c r="G934" s="5"/>
      <c r="H934" s="5"/>
      <c r="I934" s="5"/>
    </row>
    <row r="935" spans="2:9" x14ac:dyDescent="0.3">
      <c r="B935" s="4"/>
      <c r="C935" s="5"/>
      <c r="D935" s="5"/>
      <c r="E935" s="5"/>
      <c r="F935" s="5"/>
      <c r="G935" s="5"/>
      <c r="H935" s="5"/>
      <c r="I935" s="5"/>
    </row>
    <row r="936" spans="2:9" x14ac:dyDescent="0.3">
      <c r="B936" s="4"/>
      <c r="C936" s="5"/>
      <c r="D936" s="5"/>
      <c r="E936" s="5"/>
      <c r="F936" s="5"/>
      <c r="G936" s="5"/>
      <c r="H936" s="5"/>
      <c r="I936" s="5"/>
    </row>
    <row r="937" spans="2:9" x14ac:dyDescent="0.3">
      <c r="B937" s="4"/>
      <c r="C937" s="5"/>
      <c r="D937" s="5"/>
      <c r="E937" s="5"/>
      <c r="F937" s="5"/>
      <c r="G937" s="5"/>
      <c r="H937" s="5"/>
      <c r="I937" s="5"/>
    </row>
    <row r="938" spans="2:9" x14ac:dyDescent="0.3">
      <c r="B938" s="4"/>
      <c r="C938" s="5"/>
      <c r="D938" s="5"/>
      <c r="E938" s="5"/>
      <c r="F938" s="5"/>
      <c r="G938" s="5"/>
      <c r="H938" s="5"/>
      <c r="I938" s="5"/>
    </row>
    <row r="939" spans="2:9" x14ac:dyDescent="0.3">
      <c r="B939" s="4"/>
      <c r="C939" s="5"/>
      <c r="D939" s="5"/>
      <c r="E939" s="5"/>
      <c r="F939" s="5"/>
      <c r="G939" s="5"/>
      <c r="H939" s="5"/>
      <c r="I939" s="5"/>
    </row>
    <row r="940" spans="2:9" x14ac:dyDescent="0.3">
      <c r="B940" s="4"/>
      <c r="C940" s="5"/>
      <c r="D940" s="5"/>
      <c r="E940" s="5"/>
      <c r="F940" s="5"/>
      <c r="G940" s="5"/>
      <c r="H940" s="5"/>
      <c r="I940" s="5"/>
    </row>
    <row r="941" spans="2:9" x14ac:dyDescent="0.3">
      <c r="B941" s="4"/>
      <c r="C941" s="5"/>
      <c r="D941" s="5"/>
      <c r="E941" s="5"/>
      <c r="F941" s="5"/>
      <c r="G941" s="5"/>
      <c r="H941" s="5"/>
      <c r="I941" s="5"/>
    </row>
    <row r="942" spans="2:9" x14ac:dyDescent="0.3">
      <c r="B942" s="4"/>
      <c r="C942" s="5"/>
      <c r="D942" s="5"/>
      <c r="E942" s="5"/>
      <c r="F942" s="5"/>
      <c r="G942" s="5"/>
      <c r="H942" s="5"/>
      <c r="I942" s="5"/>
    </row>
    <row r="943" spans="2:9" x14ac:dyDescent="0.3">
      <c r="B943" s="4"/>
      <c r="C943" s="5"/>
      <c r="D943" s="5"/>
      <c r="E943" s="5"/>
      <c r="F943" s="5"/>
      <c r="G943" s="5"/>
      <c r="H943" s="5"/>
      <c r="I943" s="5"/>
    </row>
    <row r="944" spans="2:9" x14ac:dyDescent="0.3">
      <c r="B944" s="4"/>
      <c r="C944" s="5"/>
      <c r="D944" s="5"/>
      <c r="E944" s="5"/>
      <c r="F944" s="5"/>
      <c r="G944" s="5"/>
      <c r="H944" s="5"/>
      <c r="I944" s="5"/>
    </row>
    <row r="945" spans="2:9" x14ac:dyDescent="0.3">
      <c r="B945" s="4"/>
      <c r="C945" s="5"/>
      <c r="D945" s="5"/>
      <c r="E945" s="5"/>
      <c r="F945" s="5"/>
      <c r="G945" s="5"/>
      <c r="H945" s="5"/>
      <c r="I945" s="5"/>
    </row>
    <row r="946" spans="2:9" x14ac:dyDescent="0.3">
      <c r="B946" s="4"/>
      <c r="C946" s="5"/>
      <c r="D946" s="5"/>
      <c r="E946" s="5"/>
      <c r="F946" s="5"/>
      <c r="G946" s="5"/>
      <c r="H946" s="5"/>
      <c r="I946" s="5"/>
    </row>
    <row r="947" spans="2:9" x14ac:dyDescent="0.3">
      <c r="B947" s="4"/>
      <c r="C947" s="5"/>
      <c r="D947" s="5"/>
      <c r="E947" s="5"/>
      <c r="F947" s="5"/>
      <c r="G947" s="5"/>
      <c r="H947" s="5"/>
      <c r="I947" s="5"/>
    </row>
    <row r="948" spans="2:9" x14ac:dyDescent="0.3">
      <c r="B948" s="4"/>
      <c r="C948" s="5"/>
      <c r="D948" s="5"/>
      <c r="E948" s="5"/>
      <c r="F948" s="5"/>
      <c r="G948" s="5"/>
      <c r="H948" s="5"/>
      <c r="I948" s="5"/>
    </row>
    <row r="949" spans="2:9" x14ac:dyDescent="0.3">
      <c r="B949" s="4"/>
      <c r="C949" s="5"/>
      <c r="D949" s="5"/>
      <c r="E949" s="5"/>
      <c r="F949" s="5"/>
      <c r="G949" s="5"/>
      <c r="H949" s="5"/>
      <c r="I949" s="5"/>
    </row>
    <row r="950" spans="2:9" x14ac:dyDescent="0.3">
      <c r="B950" s="4"/>
      <c r="C950" s="5"/>
      <c r="D950" s="5"/>
      <c r="E950" s="5"/>
      <c r="F950" s="5"/>
      <c r="G950" s="5"/>
      <c r="H950" s="5"/>
      <c r="I950" s="5"/>
    </row>
    <row r="951" spans="2:9" x14ac:dyDescent="0.3">
      <c r="B951" s="4"/>
      <c r="C951" s="5"/>
      <c r="D951" s="5"/>
      <c r="E951" s="5"/>
      <c r="F951" s="5"/>
      <c r="G951" s="5"/>
      <c r="H951" s="5"/>
      <c r="I951" s="5"/>
    </row>
    <row r="952" spans="2:9" x14ac:dyDescent="0.3">
      <c r="B952" s="4"/>
      <c r="C952" s="5"/>
      <c r="D952" s="5"/>
      <c r="E952" s="5"/>
      <c r="F952" s="5"/>
      <c r="G952" s="5"/>
      <c r="H952" s="5"/>
      <c r="I952" s="5"/>
    </row>
    <row r="953" spans="2:9" x14ac:dyDescent="0.3">
      <c r="B953" s="4"/>
      <c r="C953" s="5"/>
      <c r="D953" s="5"/>
      <c r="E953" s="5"/>
      <c r="F953" s="5"/>
      <c r="G953" s="5"/>
      <c r="H953" s="5"/>
      <c r="I953" s="5"/>
    </row>
    <row r="954" spans="2:9" x14ac:dyDescent="0.3">
      <c r="B954" s="4"/>
      <c r="C954" s="5"/>
      <c r="D954" s="5"/>
      <c r="E954" s="5"/>
      <c r="F954" s="5"/>
      <c r="G954" s="5"/>
      <c r="H954" s="5"/>
      <c r="I954" s="5"/>
    </row>
    <row r="955" spans="2:9" x14ac:dyDescent="0.3">
      <c r="B955" s="4"/>
      <c r="C955" s="5"/>
      <c r="D955" s="5"/>
      <c r="E955" s="5"/>
      <c r="F955" s="5"/>
      <c r="G955" s="5"/>
      <c r="H955" s="5"/>
      <c r="I955" s="5"/>
    </row>
    <row r="956" spans="2:9" x14ac:dyDescent="0.3">
      <c r="B956" s="4"/>
      <c r="C956" s="5"/>
      <c r="D956" s="5"/>
      <c r="E956" s="5"/>
      <c r="F956" s="5"/>
      <c r="G956" s="5"/>
      <c r="H956" s="5"/>
      <c r="I956" s="5"/>
    </row>
    <row r="957" spans="2:9" x14ac:dyDescent="0.3">
      <c r="B957" s="4"/>
      <c r="C957" s="5"/>
      <c r="D957" s="5"/>
      <c r="E957" s="5"/>
      <c r="F957" s="5"/>
      <c r="G957" s="5"/>
      <c r="H957" s="5"/>
      <c r="I957" s="5"/>
    </row>
    <row r="958" spans="2:9" x14ac:dyDescent="0.3">
      <c r="B958" s="4"/>
      <c r="C958" s="5"/>
      <c r="D958" s="5"/>
      <c r="E958" s="5"/>
      <c r="F958" s="5"/>
      <c r="G958" s="5"/>
      <c r="H958" s="5"/>
      <c r="I958" s="5"/>
    </row>
    <row r="959" spans="2:9" x14ac:dyDescent="0.3">
      <c r="B959" s="4"/>
      <c r="C959" s="5"/>
      <c r="D959" s="5"/>
      <c r="E959" s="5"/>
      <c r="F959" s="5"/>
      <c r="G959" s="5"/>
      <c r="H959" s="5"/>
      <c r="I959" s="5"/>
    </row>
    <row r="960" spans="2:9" x14ac:dyDescent="0.3">
      <c r="B960" s="4"/>
      <c r="C960" s="5"/>
      <c r="D960" s="5"/>
      <c r="E960" s="5"/>
      <c r="F960" s="5"/>
      <c r="G960" s="5"/>
      <c r="H960" s="5"/>
      <c r="I960" s="5"/>
    </row>
    <row r="961" spans="2:9" x14ac:dyDescent="0.3">
      <c r="B961" s="4"/>
      <c r="C961" s="5"/>
      <c r="D961" s="5"/>
      <c r="E961" s="5"/>
      <c r="F961" s="5"/>
      <c r="G961" s="5"/>
      <c r="H961" s="5"/>
      <c r="I961" s="5"/>
    </row>
    <row r="962" spans="2:9" x14ac:dyDescent="0.3">
      <c r="B962" s="4"/>
      <c r="C962" s="5"/>
      <c r="D962" s="5"/>
      <c r="E962" s="5"/>
      <c r="F962" s="5"/>
      <c r="G962" s="5"/>
      <c r="H962" s="5"/>
      <c r="I962" s="5"/>
    </row>
    <row r="963" spans="2:9" x14ac:dyDescent="0.3">
      <c r="B963" s="4"/>
      <c r="C963" s="5"/>
      <c r="D963" s="5"/>
      <c r="E963" s="5"/>
      <c r="F963" s="5"/>
      <c r="G963" s="5"/>
      <c r="H963" s="5"/>
      <c r="I963" s="5"/>
    </row>
    <row r="964" spans="2:9" x14ac:dyDescent="0.3">
      <c r="B964" s="4"/>
      <c r="C964" s="5"/>
      <c r="D964" s="5"/>
      <c r="E964" s="5"/>
      <c r="F964" s="5"/>
      <c r="G964" s="5"/>
      <c r="H964" s="5"/>
      <c r="I964" s="5"/>
    </row>
    <row r="965" spans="2:9" x14ac:dyDescent="0.3">
      <c r="B965" s="4"/>
      <c r="C965" s="5"/>
      <c r="D965" s="5"/>
      <c r="E965" s="5"/>
      <c r="F965" s="5"/>
      <c r="G965" s="5"/>
      <c r="H965" s="5"/>
      <c r="I965" s="5"/>
    </row>
    <row r="966" spans="2:9" x14ac:dyDescent="0.3">
      <c r="B966" s="4"/>
      <c r="C966" s="5"/>
      <c r="D966" s="5"/>
      <c r="E966" s="5"/>
      <c r="F966" s="5"/>
      <c r="G966" s="5"/>
      <c r="H966" s="5"/>
      <c r="I966" s="5"/>
    </row>
    <row r="967" spans="2:9" x14ac:dyDescent="0.3">
      <c r="B967" s="4"/>
      <c r="C967" s="5"/>
      <c r="D967" s="5"/>
      <c r="E967" s="5"/>
      <c r="F967" s="5"/>
      <c r="G967" s="5"/>
      <c r="H967" s="5"/>
      <c r="I967" s="5"/>
    </row>
    <row r="968" spans="2:9" x14ac:dyDescent="0.3">
      <c r="B968" s="4"/>
      <c r="C968" s="5"/>
      <c r="D968" s="5"/>
      <c r="E968" s="5"/>
      <c r="F968" s="5"/>
      <c r="G968" s="5"/>
      <c r="H968" s="5"/>
      <c r="I968" s="5"/>
    </row>
    <row r="969" spans="2:9" x14ac:dyDescent="0.3">
      <c r="B969" s="4"/>
      <c r="C969" s="5"/>
      <c r="D969" s="5"/>
      <c r="E969" s="5"/>
      <c r="F969" s="5"/>
      <c r="G969" s="5"/>
      <c r="H969" s="5"/>
      <c r="I969" s="5"/>
    </row>
    <row r="970" spans="2:9" x14ac:dyDescent="0.3">
      <c r="B970" s="4"/>
      <c r="C970" s="5"/>
      <c r="D970" s="5"/>
      <c r="E970" s="5"/>
      <c r="F970" s="5"/>
      <c r="G970" s="5"/>
      <c r="H970" s="5"/>
      <c r="I970" s="5"/>
    </row>
    <row r="971" spans="2:9" x14ac:dyDescent="0.3">
      <c r="B971" s="4"/>
      <c r="C971" s="5"/>
      <c r="D971" s="5"/>
      <c r="E971" s="5"/>
      <c r="F971" s="5"/>
      <c r="G971" s="5"/>
      <c r="H971" s="5"/>
      <c r="I971" s="5"/>
    </row>
    <row r="972" spans="2:9" x14ac:dyDescent="0.3">
      <c r="B972" s="4"/>
      <c r="C972" s="5"/>
      <c r="D972" s="5"/>
      <c r="E972" s="5"/>
      <c r="F972" s="5"/>
      <c r="G972" s="5"/>
      <c r="H972" s="5"/>
      <c r="I972" s="5"/>
    </row>
    <row r="973" spans="2:9" x14ac:dyDescent="0.3">
      <c r="B973" s="4"/>
      <c r="C973" s="5"/>
      <c r="D973" s="5"/>
      <c r="E973" s="5"/>
      <c r="F973" s="5"/>
      <c r="G973" s="5"/>
      <c r="H973" s="5"/>
      <c r="I973" s="5"/>
    </row>
    <row r="974" spans="2:9" x14ac:dyDescent="0.3">
      <c r="B974" s="4"/>
      <c r="C974" s="5"/>
      <c r="D974" s="5"/>
      <c r="E974" s="5"/>
      <c r="F974" s="5"/>
      <c r="G974" s="5"/>
      <c r="H974" s="5"/>
      <c r="I974" s="5"/>
    </row>
    <row r="975" spans="2:9" x14ac:dyDescent="0.3">
      <c r="B975" s="4"/>
      <c r="C975" s="5"/>
      <c r="D975" s="5"/>
      <c r="E975" s="5"/>
      <c r="F975" s="5"/>
      <c r="G975" s="5"/>
      <c r="H975" s="5"/>
      <c r="I975" s="5"/>
    </row>
    <row r="976" spans="2:9" x14ac:dyDescent="0.3">
      <c r="B976" s="4"/>
      <c r="C976" s="5"/>
      <c r="D976" s="5"/>
      <c r="E976" s="5"/>
      <c r="F976" s="5"/>
      <c r="G976" s="5"/>
      <c r="H976" s="5"/>
      <c r="I976" s="5"/>
    </row>
    <row r="977" spans="2:9" x14ac:dyDescent="0.3">
      <c r="B977" s="4"/>
      <c r="C977" s="5"/>
      <c r="D977" s="5"/>
      <c r="E977" s="5"/>
      <c r="F977" s="5"/>
      <c r="G977" s="5"/>
      <c r="H977" s="5"/>
      <c r="I977" s="5"/>
    </row>
    <row r="978" spans="2:9" x14ac:dyDescent="0.3">
      <c r="B978" s="4"/>
      <c r="C978" s="5"/>
      <c r="D978" s="5"/>
      <c r="E978" s="5"/>
      <c r="F978" s="5"/>
      <c r="G978" s="5"/>
      <c r="H978" s="5"/>
      <c r="I978" s="5"/>
    </row>
    <row r="979" spans="2:9" x14ac:dyDescent="0.3">
      <c r="B979" s="4"/>
      <c r="C979" s="5"/>
      <c r="D979" s="5"/>
      <c r="E979" s="5"/>
      <c r="F979" s="5"/>
      <c r="G979" s="5"/>
      <c r="H979" s="5"/>
      <c r="I979" s="5"/>
    </row>
    <row r="980" spans="2:9" x14ac:dyDescent="0.3">
      <c r="B980" s="4"/>
      <c r="C980" s="5"/>
      <c r="D980" s="5"/>
      <c r="E980" s="5"/>
      <c r="F980" s="5"/>
      <c r="G980" s="5"/>
      <c r="H980" s="5"/>
      <c r="I980" s="5"/>
    </row>
    <row r="981" spans="2:9" x14ac:dyDescent="0.3">
      <c r="B981" s="4"/>
      <c r="C981" s="5"/>
      <c r="D981" s="5"/>
      <c r="E981" s="5"/>
      <c r="F981" s="5"/>
      <c r="G981" s="5"/>
      <c r="H981" s="5"/>
      <c r="I981" s="5"/>
    </row>
    <row r="982" spans="2:9" x14ac:dyDescent="0.3">
      <c r="B982" s="4"/>
      <c r="C982" s="5"/>
      <c r="D982" s="5"/>
      <c r="E982" s="5"/>
      <c r="F982" s="5"/>
      <c r="G982" s="5"/>
      <c r="H982" s="5"/>
      <c r="I982" s="5"/>
    </row>
    <row r="983" spans="2:9" x14ac:dyDescent="0.3">
      <c r="B983" s="4"/>
      <c r="C983" s="5"/>
      <c r="D983" s="5"/>
      <c r="E983" s="5"/>
      <c r="F983" s="5"/>
      <c r="G983" s="5"/>
      <c r="H983" s="5"/>
      <c r="I983" s="5"/>
    </row>
    <row r="984" spans="2:9" x14ac:dyDescent="0.3">
      <c r="B984" s="4"/>
      <c r="C984" s="5"/>
      <c r="D984" s="5"/>
      <c r="E984" s="5"/>
      <c r="F984" s="5"/>
      <c r="G984" s="5"/>
      <c r="H984" s="5"/>
      <c r="I984" s="5"/>
    </row>
    <row r="985" spans="2:9" x14ac:dyDescent="0.3">
      <c r="B985" s="4"/>
      <c r="C985" s="5"/>
      <c r="D985" s="5"/>
      <c r="E985" s="5"/>
      <c r="F985" s="5"/>
      <c r="G985" s="5"/>
      <c r="H985" s="5"/>
      <c r="I985" s="5"/>
    </row>
    <row r="986" spans="2:9" x14ac:dyDescent="0.3">
      <c r="B986" s="4"/>
      <c r="C986" s="5"/>
      <c r="D986" s="5"/>
      <c r="E986" s="5"/>
      <c r="F986" s="5"/>
      <c r="G986" s="5"/>
      <c r="H986" s="5"/>
      <c r="I986" s="5"/>
    </row>
    <row r="987" spans="2:9" x14ac:dyDescent="0.3">
      <c r="B987" s="4"/>
      <c r="C987" s="5"/>
      <c r="D987" s="5"/>
      <c r="E987" s="5"/>
      <c r="F987" s="5"/>
      <c r="G987" s="5"/>
      <c r="H987" s="5"/>
      <c r="I987" s="5"/>
    </row>
    <row r="988" spans="2:9" x14ac:dyDescent="0.3">
      <c r="B988" s="4"/>
      <c r="C988" s="5"/>
      <c r="D988" s="5"/>
      <c r="E988" s="5"/>
      <c r="F988" s="5"/>
      <c r="G988" s="5"/>
      <c r="H988" s="5"/>
      <c r="I988" s="5"/>
    </row>
    <row r="989" spans="2:9" x14ac:dyDescent="0.3">
      <c r="B989" s="4"/>
      <c r="C989" s="5"/>
      <c r="D989" s="5"/>
      <c r="E989" s="5"/>
      <c r="F989" s="5"/>
      <c r="G989" s="5"/>
      <c r="H989" s="5"/>
      <c r="I989" s="5"/>
    </row>
    <row r="990" spans="2:9" x14ac:dyDescent="0.3">
      <c r="B990" s="4"/>
      <c r="C990" s="5"/>
      <c r="D990" s="5"/>
      <c r="E990" s="5"/>
      <c r="F990" s="5"/>
      <c r="G990" s="5"/>
      <c r="H990" s="5"/>
      <c r="I990" s="5"/>
    </row>
    <row r="991" spans="2:9" x14ac:dyDescent="0.3">
      <c r="B991" s="4"/>
      <c r="C991" s="5"/>
      <c r="D991" s="5"/>
      <c r="E991" s="5"/>
      <c r="F991" s="5"/>
      <c r="G991" s="5"/>
      <c r="H991" s="5"/>
      <c r="I991" s="5"/>
    </row>
    <row r="992" spans="2:9" x14ac:dyDescent="0.3">
      <c r="B992" s="4"/>
      <c r="C992" s="5"/>
      <c r="D992" s="5"/>
      <c r="E992" s="5"/>
      <c r="F992" s="5"/>
      <c r="G992" s="5"/>
      <c r="H992" s="5"/>
      <c r="I992" s="5"/>
    </row>
    <row r="993" spans="2:9" x14ac:dyDescent="0.3">
      <c r="B993" s="4"/>
      <c r="C993" s="5"/>
      <c r="D993" s="5"/>
      <c r="E993" s="5"/>
      <c r="F993" s="5"/>
      <c r="G993" s="5"/>
      <c r="H993" s="5"/>
      <c r="I993" s="5"/>
    </row>
    <row r="994" spans="2:9" x14ac:dyDescent="0.3">
      <c r="B994" s="4"/>
      <c r="C994" s="5"/>
      <c r="D994" s="5"/>
      <c r="E994" s="5"/>
      <c r="F994" s="5"/>
      <c r="G994" s="5"/>
      <c r="H994" s="5"/>
      <c r="I994" s="5"/>
    </row>
    <row r="995" spans="2:9" x14ac:dyDescent="0.3">
      <c r="B995" s="4"/>
      <c r="C995" s="5"/>
      <c r="D995" s="5"/>
      <c r="E995" s="5"/>
      <c r="F995" s="5"/>
      <c r="G995" s="5"/>
      <c r="H995" s="5"/>
      <c r="I995" s="5"/>
    </row>
    <row r="996" spans="2:9" x14ac:dyDescent="0.3">
      <c r="B996" s="4"/>
      <c r="C996" s="5"/>
      <c r="D996" s="5"/>
      <c r="E996" s="5"/>
      <c r="F996" s="5"/>
      <c r="G996" s="5"/>
      <c r="H996" s="5"/>
      <c r="I996" s="5"/>
    </row>
    <row r="997" spans="2:9" x14ac:dyDescent="0.3">
      <c r="B997" s="4"/>
      <c r="C997" s="5"/>
      <c r="D997" s="5"/>
      <c r="E997" s="5"/>
      <c r="F997" s="5"/>
      <c r="G997" s="5"/>
      <c r="H997" s="5"/>
      <c r="I997" s="5"/>
    </row>
    <row r="998" spans="2:9" x14ac:dyDescent="0.3">
      <c r="B998" s="4"/>
      <c r="C998" s="5"/>
      <c r="D998" s="5"/>
      <c r="E998" s="5"/>
      <c r="F998" s="5"/>
      <c r="G998" s="5"/>
      <c r="H998" s="5"/>
      <c r="I998" s="5"/>
    </row>
    <row r="999" spans="2:9" x14ac:dyDescent="0.3">
      <c r="B999" s="4"/>
      <c r="C999" s="5"/>
      <c r="D999" s="5"/>
      <c r="E999" s="5"/>
      <c r="F999" s="5"/>
      <c r="G999" s="5"/>
      <c r="H999" s="5"/>
      <c r="I999" s="5"/>
    </row>
    <row r="1000" spans="2:9" x14ac:dyDescent="0.3">
      <c r="B1000" s="4"/>
      <c r="C1000" s="5"/>
      <c r="D1000" s="5"/>
      <c r="E1000" s="5"/>
      <c r="F1000" s="5"/>
      <c r="G1000" s="5"/>
      <c r="H1000" s="5"/>
      <c r="I1000" s="5"/>
    </row>
    <row r="1001" spans="2:9" x14ac:dyDescent="0.3">
      <c r="B1001" s="4"/>
      <c r="C1001" s="5"/>
      <c r="D1001" s="5"/>
      <c r="E1001" s="5"/>
      <c r="F1001" s="5"/>
      <c r="G1001" s="5"/>
      <c r="H1001" s="5"/>
      <c r="I1001" s="5"/>
    </row>
    <row r="1002" spans="2:9" x14ac:dyDescent="0.3">
      <c r="B1002" s="4"/>
      <c r="C1002" s="5"/>
      <c r="D1002" s="5"/>
      <c r="E1002" s="5"/>
      <c r="F1002" s="5"/>
      <c r="G1002" s="5"/>
      <c r="H1002" s="5"/>
      <c r="I1002" s="5"/>
    </row>
    <row r="1003" spans="2:9" x14ac:dyDescent="0.3">
      <c r="B1003" s="4"/>
      <c r="C1003" s="5"/>
      <c r="D1003" s="5"/>
      <c r="E1003" s="5"/>
      <c r="F1003" s="5"/>
      <c r="G1003" s="5"/>
      <c r="H1003" s="5"/>
      <c r="I1003" s="5"/>
    </row>
    <row r="1004" spans="2:9" x14ac:dyDescent="0.3">
      <c r="B1004" s="4"/>
      <c r="C1004" s="5"/>
      <c r="D1004" s="5"/>
      <c r="E1004" s="5"/>
      <c r="F1004" s="5"/>
      <c r="G1004" s="5"/>
      <c r="H1004" s="5"/>
      <c r="I1004" s="5"/>
    </row>
    <row r="1005" spans="2:9" x14ac:dyDescent="0.3">
      <c r="B1005" s="4"/>
      <c r="C1005" s="5"/>
      <c r="D1005" s="5"/>
      <c r="E1005" s="5"/>
      <c r="F1005" s="5"/>
      <c r="G1005" s="5"/>
      <c r="H1005" s="5"/>
      <c r="I1005" s="5"/>
    </row>
    <row r="1006" spans="2:9" x14ac:dyDescent="0.3">
      <c r="B1006" s="4"/>
      <c r="C1006" s="5"/>
      <c r="D1006" s="5"/>
      <c r="E1006" s="5"/>
      <c r="F1006" s="5"/>
      <c r="G1006" s="5"/>
      <c r="H1006" s="5"/>
      <c r="I1006" s="5"/>
    </row>
    <row r="1007" spans="2:9" x14ac:dyDescent="0.3">
      <c r="B1007" s="4"/>
      <c r="C1007" s="5"/>
      <c r="D1007" s="5"/>
      <c r="E1007" s="5"/>
      <c r="F1007" s="5"/>
      <c r="G1007" s="5"/>
      <c r="H1007" s="5"/>
      <c r="I1007" s="5"/>
    </row>
    <row r="1008" spans="2:9" x14ac:dyDescent="0.3">
      <c r="B1008" s="4"/>
      <c r="C1008" s="5"/>
      <c r="D1008" s="5"/>
      <c r="E1008" s="5"/>
      <c r="F1008" s="5"/>
      <c r="G1008" s="5"/>
      <c r="H1008" s="5"/>
      <c r="I1008" s="5"/>
    </row>
    <row r="1009" spans="2:9" x14ac:dyDescent="0.3">
      <c r="B1009" s="4"/>
      <c r="C1009" s="5"/>
      <c r="D1009" s="5"/>
      <c r="E1009" s="5"/>
      <c r="F1009" s="5"/>
      <c r="G1009" s="5"/>
      <c r="H1009" s="5"/>
      <c r="I1009" s="5"/>
    </row>
    <row r="1010" spans="2:9" x14ac:dyDescent="0.3">
      <c r="B1010" s="4"/>
      <c r="C1010" s="5"/>
      <c r="D1010" s="5"/>
      <c r="E1010" s="5"/>
      <c r="F1010" s="5"/>
      <c r="G1010" s="5"/>
      <c r="H1010" s="5"/>
      <c r="I1010" s="5"/>
    </row>
    <row r="1011" spans="2:9" x14ac:dyDescent="0.3">
      <c r="B1011" s="4"/>
      <c r="C1011" s="5"/>
      <c r="D1011" s="5"/>
      <c r="E1011" s="5"/>
      <c r="F1011" s="5"/>
      <c r="G1011" s="5"/>
      <c r="H1011" s="5"/>
      <c r="I1011" s="5"/>
    </row>
    <row r="1012" spans="2:9" x14ac:dyDescent="0.3">
      <c r="B1012" s="4"/>
      <c r="C1012" s="5"/>
      <c r="D1012" s="5"/>
      <c r="E1012" s="5"/>
      <c r="F1012" s="5"/>
      <c r="G1012" s="5"/>
      <c r="H1012" s="5"/>
      <c r="I1012" s="5"/>
    </row>
    <row r="1013" spans="2:9" x14ac:dyDescent="0.3">
      <c r="B1013" s="4"/>
      <c r="C1013" s="5"/>
      <c r="D1013" s="5"/>
      <c r="E1013" s="5"/>
      <c r="F1013" s="5"/>
      <c r="G1013" s="5"/>
      <c r="H1013" s="5"/>
      <c r="I1013" s="5"/>
    </row>
    <row r="1014" spans="2:9" x14ac:dyDescent="0.3">
      <c r="B1014" s="4"/>
      <c r="C1014" s="5"/>
      <c r="D1014" s="5"/>
      <c r="E1014" s="5"/>
      <c r="F1014" s="5"/>
      <c r="G1014" s="5"/>
      <c r="H1014" s="5"/>
      <c r="I1014" s="5"/>
    </row>
    <row r="1015" spans="2:9" x14ac:dyDescent="0.3">
      <c r="B1015" s="4"/>
      <c r="C1015" s="5"/>
      <c r="D1015" s="5"/>
      <c r="E1015" s="5"/>
      <c r="F1015" s="5"/>
      <c r="G1015" s="5"/>
      <c r="H1015" s="5"/>
      <c r="I1015" s="5"/>
    </row>
    <row r="1016" spans="2:9" x14ac:dyDescent="0.3">
      <c r="B1016" s="4"/>
      <c r="C1016" s="5"/>
      <c r="D1016" s="5"/>
      <c r="E1016" s="5"/>
      <c r="F1016" s="5"/>
      <c r="G1016" s="5"/>
      <c r="H1016" s="5"/>
      <c r="I1016" s="5"/>
    </row>
    <row r="1017" spans="2:9" x14ac:dyDescent="0.3">
      <c r="B1017" s="4"/>
      <c r="C1017" s="5"/>
      <c r="D1017" s="5"/>
      <c r="E1017" s="5"/>
      <c r="F1017" s="5"/>
      <c r="G1017" s="5"/>
      <c r="H1017" s="5"/>
      <c r="I1017" s="5"/>
    </row>
    <row r="1018" spans="2:9" x14ac:dyDescent="0.3">
      <c r="B1018" s="4"/>
      <c r="C1018" s="5"/>
      <c r="D1018" s="5"/>
      <c r="E1018" s="5"/>
      <c r="F1018" s="5"/>
      <c r="G1018" s="5"/>
      <c r="H1018" s="5"/>
      <c r="I1018" s="5"/>
    </row>
    <row r="1019" spans="2:9" x14ac:dyDescent="0.3">
      <c r="B1019" s="4"/>
      <c r="C1019" s="5"/>
      <c r="D1019" s="5"/>
      <c r="E1019" s="5"/>
      <c r="F1019" s="5"/>
      <c r="G1019" s="5"/>
      <c r="H1019" s="5"/>
      <c r="I1019" s="5"/>
    </row>
    <row r="1020" spans="2:9" x14ac:dyDescent="0.3">
      <c r="B1020" s="4"/>
      <c r="C1020" s="5"/>
      <c r="D1020" s="5"/>
      <c r="E1020" s="5"/>
      <c r="F1020" s="5"/>
      <c r="G1020" s="5"/>
      <c r="H1020" s="5"/>
      <c r="I1020" s="5"/>
    </row>
    <row r="1021" spans="2:9" x14ac:dyDescent="0.3">
      <c r="B1021" s="4"/>
      <c r="C1021" s="5"/>
      <c r="D1021" s="5"/>
      <c r="E1021" s="5"/>
      <c r="F1021" s="5"/>
      <c r="G1021" s="5"/>
      <c r="H1021" s="5"/>
      <c r="I1021" s="5"/>
    </row>
    <row r="1022" spans="2:9" x14ac:dyDescent="0.3">
      <c r="B1022" s="4"/>
      <c r="C1022" s="5"/>
      <c r="D1022" s="5"/>
      <c r="E1022" s="5"/>
      <c r="F1022" s="5"/>
      <c r="G1022" s="5"/>
      <c r="H1022" s="5"/>
      <c r="I1022" s="5"/>
    </row>
    <row r="1023" spans="2:9" x14ac:dyDescent="0.3">
      <c r="B1023" s="4"/>
      <c r="C1023" s="5"/>
      <c r="D1023" s="5"/>
      <c r="E1023" s="5"/>
      <c r="F1023" s="5"/>
      <c r="G1023" s="5"/>
      <c r="H1023" s="5"/>
      <c r="I1023" s="5"/>
    </row>
    <row r="1024" spans="2:9" x14ac:dyDescent="0.3">
      <c r="B1024" s="4"/>
      <c r="C1024" s="5"/>
      <c r="D1024" s="5"/>
      <c r="E1024" s="5"/>
      <c r="F1024" s="5"/>
      <c r="G1024" s="5"/>
      <c r="H1024" s="5"/>
      <c r="I1024" s="5"/>
    </row>
    <row r="1025" spans="2:9" x14ac:dyDescent="0.3">
      <c r="B1025" s="4"/>
      <c r="C1025" s="5"/>
      <c r="D1025" s="5"/>
      <c r="E1025" s="5"/>
      <c r="F1025" s="5"/>
      <c r="G1025" s="5"/>
      <c r="H1025" s="5"/>
      <c r="I1025" s="5"/>
    </row>
    <row r="1026" spans="2:9" x14ac:dyDescent="0.3">
      <c r="B1026" s="4"/>
      <c r="C1026" s="5"/>
      <c r="D1026" s="5"/>
      <c r="E1026" s="5"/>
      <c r="F1026" s="5"/>
      <c r="G1026" s="5"/>
      <c r="H1026" s="5"/>
      <c r="I1026" s="5"/>
    </row>
    <row r="1027" spans="2:9" x14ac:dyDescent="0.3">
      <c r="B1027" s="4"/>
      <c r="C1027" s="5"/>
      <c r="D1027" s="5"/>
      <c r="E1027" s="5"/>
      <c r="F1027" s="5"/>
      <c r="G1027" s="5"/>
      <c r="H1027" s="5"/>
      <c r="I1027" s="5"/>
    </row>
    <row r="1028" spans="2:9" x14ac:dyDescent="0.3">
      <c r="B1028" s="4"/>
      <c r="C1028" s="5"/>
      <c r="D1028" s="5"/>
      <c r="E1028" s="5"/>
      <c r="F1028" s="5"/>
      <c r="G1028" s="5"/>
      <c r="H1028" s="5"/>
      <c r="I1028" s="5"/>
    </row>
    <row r="1029" spans="2:9" x14ac:dyDescent="0.3">
      <c r="B1029" s="4"/>
      <c r="C1029" s="5"/>
      <c r="D1029" s="5"/>
      <c r="E1029" s="5"/>
      <c r="F1029" s="5"/>
      <c r="G1029" s="5"/>
      <c r="H1029" s="5"/>
      <c r="I1029" s="5"/>
    </row>
    <row r="1030" spans="2:9" x14ac:dyDescent="0.3">
      <c r="B1030" s="4"/>
      <c r="C1030" s="5"/>
      <c r="D1030" s="5"/>
      <c r="E1030" s="5"/>
      <c r="F1030" s="5"/>
      <c r="G1030" s="5"/>
      <c r="H1030" s="5"/>
      <c r="I1030" s="5"/>
    </row>
    <row r="1031" spans="2:9" x14ac:dyDescent="0.3">
      <c r="B1031" s="4"/>
      <c r="C1031" s="5"/>
      <c r="D1031" s="5"/>
      <c r="E1031" s="5"/>
      <c r="F1031" s="5"/>
      <c r="G1031" s="5"/>
      <c r="H1031" s="5"/>
      <c r="I1031" s="5"/>
    </row>
    <row r="1032" spans="2:9" x14ac:dyDescent="0.3">
      <c r="B1032" s="4"/>
      <c r="C1032" s="5"/>
      <c r="D1032" s="5"/>
      <c r="E1032" s="5"/>
      <c r="F1032" s="5"/>
      <c r="G1032" s="5"/>
      <c r="H1032" s="5"/>
      <c r="I1032" s="5"/>
    </row>
    <row r="1033" spans="2:9" x14ac:dyDescent="0.3">
      <c r="B1033" s="4"/>
      <c r="C1033" s="5"/>
      <c r="D1033" s="5"/>
      <c r="E1033" s="5"/>
      <c r="F1033" s="5"/>
      <c r="G1033" s="5"/>
      <c r="H1033" s="5"/>
      <c r="I1033" s="5"/>
    </row>
    <row r="1034" spans="2:9" x14ac:dyDescent="0.3">
      <c r="B1034" s="4"/>
      <c r="C1034" s="5"/>
      <c r="D1034" s="5"/>
      <c r="E1034" s="5"/>
      <c r="F1034" s="5"/>
      <c r="G1034" s="5"/>
      <c r="H1034" s="5"/>
      <c r="I1034" s="5"/>
    </row>
    <row r="1035" spans="2:9" x14ac:dyDescent="0.3">
      <c r="B1035" s="4"/>
      <c r="C1035" s="5"/>
      <c r="D1035" s="5"/>
      <c r="E1035" s="5"/>
      <c r="F1035" s="5"/>
      <c r="G1035" s="5"/>
      <c r="H1035" s="5"/>
      <c r="I1035" s="5"/>
    </row>
    <row r="1036" spans="2:9" x14ac:dyDescent="0.3">
      <c r="B1036" s="4"/>
      <c r="C1036" s="5"/>
      <c r="D1036" s="5"/>
      <c r="E1036" s="5"/>
      <c r="F1036" s="5"/>
      <c r="G1036" s="5"/>
      <c r="H1036" s="5"/>
      <c r="I1036" s="5"/>
    </row>
    <row r="1037" spans="2:9" x14ac:dyDescent="0.3">
      <c r="B1037" s="4"/>
      <c r="C1037" s="5"/>
      <c r="D1037" s="5"/>
      <c r="E1037" s="5"/>
      <c r="F1037" s="5"/>
      <c r="G1037" s="5"/>
      <c r="H1037" s="5"/>
      <c r="I1037" s="5"/>
    </row>
    <row r="1038" spans="2:9" x14ac:dyDescent="0.3">
      <c r="B1038" s="4"/>
      <c r="C1038" s="5"/>
      <c r="D1038" s="5"/>
      <c r="E1038" s="5"/>
      <c r="F1038" s="5"/>
      <c r="G1038" s="5"/>
      <c r="H1038" s="5"/>
      <c r="I1038" s="5"/>
    </row>
    <row r="1039" spans="2:9" x14ac:dyDescent="0.3">
      <c r="B1039" s="4"/>
      <c r="C1039" s="5"/>
      <c r="D1039" s="5"/>
      <c r="E1039" s="5"/>
      <c r="F1039" s="5"/>
      <c r="G1039" s="5"/>
      <c r="H1039" s="5"/>
      <c r="I1039" s="5"/>
    </row>
    <row r="1040" spans="2:9" x14ac:dyDescent="0.3">
      <c r="B1040" s="4"/>
      <c r="C1040" s="5"/>
      <c r="D1040" s="5"/>
      <c r="E1040" s="5"/>
      <c r="F1040" s="5"/>
      <c r="G1040" s="5"/>
      <c r="H1040" s="5"/>
      <c r="I1040" s="5"/>
    </row>
    <row r="1041" spans="2:9" x14ac:dyDescent="0.3">
      <c r="B1041" s="4"/>
      <c r="C1041" s="5"/>
      <c r="D1041" s="5"/>
      <c r="E1041" s="5"/>
      <c r="F1041" s="5"/>
      <c r="G1041" s="5"/>
      <c r="H1041" s="5"/>
      <c r="I1041" s="5"/>
    </row>
    <row r="1042" spans="2:9" x14ac:dyDescent="0.3">
      <c r="B1042" s="4"/>
      <c r="C1042" s="5"/>
      <c r="D1042" s="5"/>
      <c r="E1042" s="5"/>
      <c r="F1042" s="5"/>
      <c r="G1042" s="5"/>
      <c r="H1042" s="5"/>
      <c r="I1042" s="5"/>
    </row>
    <row r="1043" spans="2:9" x14ac:dyDescent="0.3">
      <c r="B1043" s="4"/>
      <c r="C1043" s="5"/>
      <c r="D1043" s="5"/>
      <c r="E1043" s="5"/>
      <c r="F1043" s="5"/>
      <c r="G1043" s="5"/>
      <c r="H1043" s="5"/>
      <c r="I1043" s="5"/>
    </row>
    <row r="1044" spans="2:9" x14ac:dyDescent="0.3">
      <c r="B1044" s="4"/>
      <c r="C1044" s="5"/>
      <c r="D1044" s="5"/>
      <c r="E1044" s="5"/>
      <c r="F1044" s="5"/>
      <c r="G1044" s="5"/>
      <c r="H1044" s="5"/>
      <c r="I1044" s="5"/>
    </row>
    <row r="1045" spans="2:9" x14ac:dyDescent="0.3">
      <c r="B1045" s="4"/>
      <c r="C1045" s="5"/>
      <c r="D1045" s="5"/>
      <c r="E1045" s="5"/>
      <c r="F1045" s="5"/>
      <c r="G1045" s="5"/>
      <c r="H1045" s="5"/>
      <c r="I1045" s="5"/>
    </row>
    <row r="1046" spans="2:9" x14ac:dyDescent="0.3">
      <c r="B1046" s="4"/>
      <c r="C1046" s="5"/>
      <c r="D1046" s="5"/>
      <c r="E1046" s="5"/>
      <c r="F1046" s="5"/>
      <c r="G1046" s="5"/>
      <c r="H1046" s="5"/>
      <c r="I1046" s="5"/>
    </row>
    <row r="1047" spans="2:9" x14ac:dyDescent="0.3">
      <c r="B1047" s="4"/>
      <c r="C1047" s="5"/>
      <c r="D1047" s="5"/>
      <c r="E1047" s="5"/>
      <c r="F1047" s="5"/>
      <c r="G1047" s="5"/>
      <c r="H1047" s="5"/>
      <c r="I1047" s="5"/>
    </row>
    <row r="1048" spans="2:9" x14ac:dyDescent="0.3">
      <c r="B1048" s="4"/>
      <c r="C1048" s="5"/>
      <c r="D1048" s="5"/>
      <c r="E1048" s="5"/>
      <c r="F1048" s="5"/>
      <c r="G1048" s="5"/>
      <c r="H1048" s="5"/>
      <c r="I1048" s="5"/>
    </row>
    <row r="1049" spans="2:9" x14ac:dyDescent="0.3">
      <c r="B1049" s="4"/>
      <c r="C1049" s="5"/>
      <c r="D1049" s="5"/>
      <c r="E1049" s="5"/>
      <c r="F1049" s="5"/>
      <c r="G1049" s="5"/>
      <c r="H1049" s="5"/>
      <c r="I1049" s="5"/>
    </row>
    <row r="1050" spans="2:9" x14ac:dyDescent="0.3">
      <c r="B1050" s="4"/>
      <c r="C1050" s="5"/>
      <c r="D1050" s="5"/>
      <c r="E1050" s="5"/>
      <c r="F1050" s="5"/>
      <c r="G1050" s="5"/>
      <c r="H1050" s="5"/>
      <c r="I1050" s="5"/>
    </row>
    <row r="1051" spans="2:9" x14ac:dyDescent="0.3">
      <c r="B1051" s="4"/>
      <c r="C1051" s="5"/>
      <c r="D1051" s="5"/>
      <c r="E1051" s="5"/>
      <c r="F1051" s="5"/>
      <c r="G1051" s="5"/>
      <c r="H1051" s="5"/>
      <c r="I1051" s="5"/>
    </row>
    <row r="1052" spans="2:9" x14ac:dyDescent="0.3">
      <c r="B1052" s="4"/>
      <c r="C1052" s="5"/>
      <c r="D1052" s="5"/>
      <c r="E1052" s="5"/>
      <c r="F1052" s="5"/>
      <c r="G1052" s="5"/>
      <c r="H1052" s="5"/>
      <c r="I1052" s="5"/>
    </row>
    <row r="1053" spans="2:9" x14ac:dyDescent="0.3">
      <c r="B1053" s="4"/>
      <c r="C1053" s="5"/>
      <c r="D1053" s="5"/>
      <c r="E1053" s="5"/>
      <c r="F1053" s="5"/>
      <c r="G1053" s="5"/>
      <c r="H1053" s="5"/>
      <c r="I1053" s="5"/>
    </row>
    <row r="1054" spans="2:9" x14ac:dyDescent="0.3">
      <c r="B1054" s="4"/>
      <c r="C1054" s="5"/>
      <c r="D1054" s="5"/>
      <c r="E1054" s="5"/>
      <c r="F1054" s="5"/>
      <c r="G1054" s="5"/>
      <c r="H1054" s="5"/>
      <c r="I1054" s="5"/>
    </row>
    <row r="1055" spans="2:9" x14ac:dyDescent="0.3">
      <c r="B1055" s="4"/>
      <c r="C1055" s="5"/>
      <c r="D1055" s="5"/>
      <c r="E1055" s="5"/>
      <c r="F1055" s="5"/>
      <c r="G1055" s="5"/>
      <c r="H1055" s="5"/>
      <c r="I1055" s="5"/>
    </row>
    <row r="1056" spans="2:9" x14ac:dyDescent="0.3">
      <c r="B1056" s="4"/>
      <c r="C1056" s="5"/>
      <c r="D1056" s="5"/>
      <c r="E1056" s="5"/>
      <c r="F1056" s="5"/>
      <c r="G1056" s="5"/>
      <c r="H1056" s="5"/>
      <c r="I1056" s="5"/>
    </row>
    <row r="1057" spans="2:9" x14ac:dyDescent="0.3">
      <c r="B1057" s="4"/>
      <c r="C1057" s="5"/>
      <c r="D1057" s="5"/>
      <c r="E1057" s="5"/>
      <c r="F1057" s="5"/>
      <c r="G1057" s="5"/>
      <c r="H1057" s="5"/>
      <c r="I1057" s="5"/>
    </row>
    <row r="1058" spans="2:9" x14ac:dyDescent="0.3">
      <c r="B1058" s="4"/>
      <c r="C1058" s="5"/>
      <c r="D1058" s="5"/>
      <c r="E1058" s="5"/>
      <c r="F1058" s="5"/>
      <c r="G1058" s="5"/>
      <c r="H1058" s="5"/>
      <c r="I1058" s="5"/>
    </row>
    <row r="1059" spans="2:9" x14ac:dyDescent="0.3">
      <c r="B1059" s="4"/>
      <c r="C1059" s="5"/>
      <c r="D1059" s="5"/>
      <c r="E1059" s="5"/>
      <c r="F1059" s="5"/>
      <c r="G1059" s="5"/>
      <c r="H1059" s="5"/>
      <c r="I1059" s="5"/>
    </row>
    <row r="1060" spans="2:9" x14ac:dyDescent="0.3">
      <c r="B1060" s="4"/>
      <c r="C1060" s="5"/>
      <c r="D1060" s="5"/>
      <c r="E1060" s="5"/>
      <c r="F1060" s="5"/>
      <c r="G1060" s="5"/>
      <c r="H1060" s="5"/>
      <c r="I1060" s="5"/>
    </row>
    <row r="1061" spans="2:9" x14ac:dyDescent="0.3">
      <c r="B1061" s="4"/>
      <c r="C1061" s="5"/>
      <c r="D1061" s="5"/>
      <c r="E1061" s="5"/>
      <c r="F1061" s="5"/>
      <c r="G1061" s="5"/>
      <c r="H1061" s="5"/>
      <c r="I1061" s="5"/>
    </row>
    <row r="1062" spans="2:9" x14ac:dyDescent="0.3">
      <c r="B1062" s="4"/>
      <c r="C1062" s="5"/>
      <c r="D1062" s="5"/>
      <c r="E1062" s="5"/>
      <c r="F1062" s="5"/>
      <c r="G1062" s="5"/>
      <c r="H1062" s="5"/>
      <c r="I1062" s="5"/>
    </row>
    <row r="1063" spans="2:9" x14ac:dyDescent="0.3">
      <c r="B1063" s="4"/>
      <c r="C1063" s="5"/>
      <c r="D1063" s="5"/>
      <c r="E1063" s="5"/>
      <c r="F1063" s="5"/>
      <c r="G1063" s="5"/>
      <c r="H1063" s="5"/>
      <c r="I1063" s="5"/>
    </row>
    <row r="1064" spans="2:9" x14ac:dyDescent="0.3">
      <c r="B1064" s="4"/>
      <c r="C1064" s="5"/>
      <c r="D1064" s="5"/>
      <c r="E1064" s="5"/>
      <c r="F1064" s="5"/>
      <c r="G1064" s="5"/>
      <c r="H1064" s="5"/>
      <c r="I1064" s="5"/>
    </row>
    <row r="1065" spans="2:9" x14ac:dyDescent="0.3">
      <c r="B1065" s="4"/>
      <c r="C1065" s="5"/>
      <c r="D1065" s="5"/>
      <c r="E1065" s="5"/>
      <c r="F1065" s="5"/>
      <c r="G1065" s="5"/>
      <c r="H1065" s="5"/>
      <c r="I1065" s="5"/>
    </row>
    <row r="1066" spans="2:9" x14ac:dyDescent="0.3">
      <c r="B1066" s="4"/>
      <c r="C1066" s="5"/>
      <c r="D1066" s="5"/>
      <c r="E1066" s="5"/>
      <c r="F1066" s="5"/>
      <c r="G1066" s="5"/>
      <c r="H1066" s="5"/>
      <c r="I1066" s="5"/>
    </row>
    <row r="1067" spans="2:9" x14ac:dyDescent="0.3">
      <c r="B1067" s="4"/>
      <c r="C1067" s="5"/>
      <c r="D1067" s="5"/>
      <c r="E1067" s="5"/>
      <c r="F1067" s="5"/>
      <c r="G1067" s="5"/>
      <c r="H1067" s="5"/>
      <c r="I1067" s="5"/>
    </row>
    <row r="1068" spans="2:9" x14ac:dyDescent="0.3">
      <c r="B1068" s="4"/>
      <c r="C1068" s="5"/>
      <c r="D1068" s="5"/>
      <c r="E1068" s="5"/>
      <c r="F1068" s="5"/>
      <c r="G1068" s="5"/>
      <c r="H1068" s="5"/>
      <c r="I1068" s="5"/>
    </row>
    <row r="1069" spans="2:9" x14ac:dyDescent="0.3">
      <c r="B1069" s="4"/>
      <c r="C1069" s="5"/>
      <c r="D1069" s="5"/>
      <c r="E1069" s="5"/>
      <c r="F1069" s="5"/>
      <c r="G1069" s="5"/>
      <c r="H1069" s="5"/>
      <c r="I1069" s="5"/>
    </row>
    <row r="1070" spans="2:9" x14ac:dyDescent="0.3">
      <c r="B1070" s="4"/>
      <c r="C1070" s="5"/>
      <c r="D1070" s="5"/>
      <c r="E1070" s="5"/>
      <c r="F1070" s="5"/>
      <c r="G1070" s="5"/>
      <c r="H1070" s="5"/>
      <c r="I1070" s="5"/>
    </row>
    <row r="1071" spans="2:9" x14ac:dyDescent="0.3">
      <c r="B1071" s="4"/>
      <c r="C1071" s="5"/>
      <c r="D1071" s="5"/>
      <c r="E1071" s="5"/>
      <c r="F1071" s="5"/>
      <c r="G1071" s="5"/>
      <c r="H1071" s="5"/>
      <c r="I1071" s="5"/>
    </row>
    <row r="1072" spans="2:9" x14ac:dyDescent="0.3">
      <c r="B1072" s="4"/>
      <c r="C1072" s="5"/>
      <c r="D1072" s="5"/>
      <c r="E1072" s="5"/>
      <c r="F1072" s="5"/>
      <c r="G1072" s="5"/>
      <c r="H1072" s="5"/>
      <c r="I1072" s="5"/>
    </row>
    <row r="1073" spans="2:9" x14ac:dyDescent="0.3">
      <c r="B1073" s="4"/>
      <c r="C1073" s="5"/>
      <c r="D1073" s="5"/>
      <c r="E1073" s="5"/>
      <c r="F1073" s="5"/>
      <c r="G1073" s="5"/>
      <c r="H1073" s="5"/>
      <c r="I1073" s="5"/>
    </row>
    <row r="1074" spans="2:9" x14ac:dyDescent="0.3">
      <c r="B1074" s="4"/>
      <c r="C1074" s="5"/>
      <c r="D1074" s="5"/>
      <c r="E1074" s="5"/>
      <c r="F1074" s="5"/>
      <c r="G1074" s="5"/>
      <c r="H1074" s="5"/>
      <c r="I1074" s="5"/>
    </row>
    <row r="1075" spans="2:9" x14ac:dyDescent="0.3">
      <c r="B1075" s="4"/>
      <c r="C1075" s="5"/>
      <c r="D1075" s="5"/>
      <c r="E1075" s="5"/>
      <c r="F1075" s="5"/>
      <c r="G1075" s="5"/>
      <c r="H1075" s="5"/>
      <c r="I1075" s="5"/>
    </row>
    <row r="1076" spans="2:9" x14ac:dyDescent="0.3">
      <c r="B1076" s="4"/>
      <c r="C1076" s="5"/>
      <c r="D1076" s="5"/>
      <c r="E1076" s="5"/>
      <c r="F1076" s="5"/>
      <c r="G1076" s="5"/>
      <c r="H1076" s="5"/>
      <c r="I1076" s="5"/>
    </row>
    <row r="1077" spans="2:9" x14ac:dyDescent="0.3">
      <c r="B1077" s="4"/>
      <c r="C1077" s="5"/>
      <c r="D1077" s="5"/>
      <c r="E1077" s="5"/>
      <c r="F1077" s="5"/>
      <c r="G1077" s="5"/>
      <c r="H1077" s="5"/>
      <c r="I1077" s="5"/>
    </row>
    <row r="1078" spans="2:9" x14ac:dyDescent="0.3">
      <c r="B1078" s="4"/>
      <c r="C1078" s="5"/>
      <c r="D1078" s="5"/>
      <c r="E1078" s="5"/>
      <c r="F1078" s="5"/>
      <c r="G1078" s="5"/>
      <c r="H1078" s="5"/>
      <c r="I1078" s="5"/>
    </row>
    <row r="1079" spans="2:9" x14ac:dyDescent="0.3">
      <c r="B1079" s="4"/>
      <c r="C1079" s="5"/>
      <c r="D1079" s="5"/>
      <c r="E1079" s="5"/>
      <c r="F1079" s="5"/>
      <c r="G1079" s="5"/>
      <c r="H1079" s="5"/>
      <c r="I1079" s="5"/>
    </row>
    <row r="1080" spans="2:9" x14ac:dyDescent="0.3">
      <c r="B1080" s="4"/>
      <c r="C1080" s="5"/>
      <c r="D1080" s="5"/>
      <c r="E1080" s="5"/>
      <c r="F1080" s="5"/>
      <c r="G1080" s="5"/>
      <c r="H1080" s="5"/>
      <c r="I1080" s="5"/>
    </row>
    <row r="1081" spans="2:9" x14ac:dyDescent="0.3">
      <c r="B1081" s="4"/>
      <c r="C1081" s="5"/>
      <c r="D1081" s="5"/>
      <c r="E1081" s="5"/>
      <c r="F1081" s="5"/>
      <c r="G1081" s="5"/>
      <c r="H1081" s="5"/>
      <c r="I1081" s="5"/>
    </row>
    <row r="1082" spans="2:9" x14ac:dyDescent="0.3">
      <c r="B1082" s="4"/>
      <c r="C1082" s="5"/>
      <c r="D1082" s="5"/>
      <c r="E1082" s="5"/>
      <c r="F1082" s="5"/>
      <c r="G1082" s="5"/>
      <c r="H1082" s="5"/>
      <c r="I1082" s="5"/>
    </row>
    <row r="1083" spans="2:9" x14ac:dyDescent="0.3">
      <c r="B1083" s="4"/>
      <c r="C1083" s="5"/>
      <c r="D1083" s="5"/>
      <c r="E1083" s="5"/>
      <c r="F1083" s="5"/>
      <c r="G1083" s="5"/>
      <c r="H1083" s="5"/>
      <c r="I1083" s="5"/>
    </row>
    <row r="1084" spans="2:9" x14ac:dyDescent="0.3">
      <c r="B1084" s="4"/>
      <c r="C1084" s="5"/>
      <c r="D1084" s="5"/>
      <c r="E1084" s="5"/>
      <c r="F1084" s="5"/>
      <c r="G1084" s="5"/>
      <c r="H1084" s="5"/>
      <c r="I1084" s="5"/>
    </row>
    <row r="1085" spans="2:9" x14ac:dyDescent="0.3">
      <c r="B1085" s="4"/>
      <c r="C1085" s="5"/>
      <c r="D1085" s="5"/>
      <c r="E1085" s="5"/>
      <c r="F1085" s="5"/>
      <c r="G1085" s="5"/>
      <c r="H1085" s="5"/>
      <c r="I1085" s="5"/>
    </row>
    <row r="1086" spans="2:9" x14ac:dyDescent="0.3">
      <c r="B1086" s="4"/>
      <c r="C1086" s="5"/>
      <c r="D1086" s="5"/>
      <c r="E1086" s="5"/>
      <c r="F1086" s="5"/>
      <c r="G1086" s="5"/>
      <c r="H1086" s="5"/>
      <c r="I1086" s="5"/>
    </row>
    <row r="1087" spans="2:9" x14ac:dyDescent="0.3">
      <c r="B1087" s="4"/>
      <c r="C1087" s="5"/>
      <c r="D1087" s="5"/>
      <c r="E1087" s="5"/>
      <c r="F1087" s="5"/>
      <c r="G1087" s="5"/>
      <c r="H1087" s="5"/>
      <c r="I1087" s="5"/>
    </row>
    <row r="1088" spans="2:9" x14ac:dyDescent="0.3">
      <c r="B1088" s="4"/>
      <c r="C1088" s="5"/>
      <c r="D1088" s="5"/>
      <c r="E1088" s="5"/>
      <c r="F1088" s="5"/>
      <c r="G1088" s="5"/>
      <c r="H1088" s="5"/>
      <c r="I1088" s="5"/>
    </row>
    <row r="1089" spans="2:9" x14ac:dyDescent="0.3">
      <c r="B1089" s="4"/>
      <c r="C1089" s="5"/>
      <c r="D1089" s="5"/>
      <c r="E1089" s="5"/>
      <c r="F1089" s="5"/>
      <c r="G1089" s="5"/>
      <c r="H1089" s="5"/>
      <c r="I1089" s="5"/>
    </row>
    <row r="1090" spans="2:9" x14ac:dyDescent="0.3">
      <c r="B1090" s="4"/>
      <c r="C1090" s="5"/>
      <c r="D1090" s="5"/>
      <c r="E1090" s="5"/>
      <c r="F1090" s="5"/>
      <c r="G1090" s="5"/>
      <c r="H1090" s="5"/>
      <c r="I1090" s="5"/>
    </row>
    <row r="1091" spans="2:9" x14ac:dyDescent="0.3">
      <c r="B1091" s="4"/>
      <c r="C1091" s="5"/>
      <c r="D1091" s="5"/>
      <c r="E1091" s="5"/>
      <c r="F1091" s="5"/>
      <c r="G1091" s="5"/>
      <c r="H1091" s="5"/>
      <c r="I1091" s="5"/>
    </row>
    <row r="1092" spans="2:9" x14ac:dyDescent="0.3">
      <c r="B1092" s="4"/>
      <c r="C1092" s="5"/>
      <c r="D1092" s="5"/>
      <c r="E1092" s="5"/>
      <c r="F1092" s="5"/>
      <c r="G1092" s="5"/>
      <c r="H1092" s="5"/>
      <c r="I1092" s="5"/>
    </row>
    <row r="1093" spans="2:9" x14ac:dyDescent="0.3">
      <c r="B1093" s="4"/>
      <c r="C1093" s="5"/>
      <c r="D1093" s="5"/>
      <c r="E1093" s="5"/>
      <c r="F1093" s="5"/>
      <c r="G1093" s="5"/>
      <c r="H1093" s="5"/>
      <c r="I1093" s="5"/>
    </row>
    <row r="1094" spans="2:9" x14ac:dyDescent="0.3">
      <c r="B1094" s="4"/>
      <c r="C1094" s="5"/>
      <c r="D1094" s="5"/>
      <c r="E1094" s="5"/>
      <c r="F1094" s="5"/>
      <c r="G1094" s="5"/>
      <c r="H1094" s="5"/>
      <c r="I1094" s="5"/>
    </row>
    <row r="1095" spans="2:9" x14ac:dyDescent="0.3">
      <c r="B1095" s="4"/>
      <c r="C1095" s="5"/>
      <c r="D1095" s="5"/>
      <c r="E1095" s="5"/>
      <c r="F1095" s="5"/>
      <c r="G1095" s="5"/>
      <c r="H1095" s="5"/>
      <c r="I1095" s="5"/>
    </row>
    <row r="1096" spans="2:9" x14ac:dyDescent="0.3">
      <c r="B1096" s="4"/>
      <c r="C1096" s="5"/>
      <c r="D1096" s="5"/>
      <c r="E1096" s="5"/>
      <c r="F1096" s="5"/>
      <c r="G1096" s="5"/>
      <c r="H1096" s="5"/>
      <c r="I1096" s="5"/>
    </row>
    <row r="1097" spans="2:9" x14ac:dyDescent="0.3">
      <c r="B1097" s="4"/>
      <c r="C1097" s="5"/>
      <c r="D1097" s="5"/>
      <c r="E1097" s="5"/>
      <c r="F1097" s="5"/>
      <c r="G1097" s="5"/>
      <c r="H1097" s="5"/>
      <c r="I1097" s="5"/>
    </row>
    <row r="1098" spans="2:9" x14ac:dyDescent="0.3">
      <c r="B1098" s="4"/>
      <c r="C1098" s="5"/>
      <c r="D1098" s="5"/>
      <c r="E1098" s="5"/>
      <c r="F1098" s="5"/>
      <c r="G1098" s="5"/>
      <c r="H1098" s="5"/>
      <c r="I1098" s="5"/>
    </row>
    <row r="1099" spans="2:9" x14ac:dyDescent="0.3">
      <c r="B1099" s="4"/>
      <c r="C1099" s="5"/>
      <c r="D1099" s="5"/>
      <c r="E1099" s="5"/>
      <c r="F1099" s="5"/>
      <c r="G1099" s="5"/>
      <c r="H1099" s="5"/>
      <c r="I1099" s="5"/>
    </row>
    <row r="1100" spans="2:9" x14ac:dyDescent="0.3">
      <c r="B1100" s="4"/>
      <c r="C1100" s="5"/>
      <c r="D1100" s="5"/>
      <c r="E1100" s="5"/>
      <c r="F1100" s="5"/>
      <c r="G1100" s="5"/>
      <c r="H1100" s="5"/>
      <c r="I1100" s="5"/>
    </row>
    <row r="1101" spans="2:9" x14ac:dyDescent="0.3">
      <c r="B1101" s="4"/>
      <c r="C1101" s="5"/>
      <c r="D1101" s="5"/>
      <c r="E1101" s="5"/>
      <c r="F1101" s="5"/>
      <c r="G1101" s="5"/>
      <c r="H1101" s="5"/>
      <c r="I1101" s="5"/>
    </row>
    <row r="1102" spans="2:9" x14ac:dyDescent="0.3">
      <c r="B1102" s="4"/>
      <c r="C1102" s="5"/>
      <c r="D1102" s="5"/>
      <c r="E1102" s="5"/>
      <c r="F1102" s="5"/>
      <c r="G1102" s="5"/>
      <c r="H1102" s="5"/>
      <c r="I1102" s="5"/>
    </row>
    <row r="1103" spans="2:9" x14ac:dyDescent="0.3">
      <c r="B1103" s="4"/>
      <c r="C1103" s="5"/>
      <c r="D1103" s="5"/>
      <c r="E1103" s="5"/>
      <c r="F1103" s="5"/>
      <c r="G1103" s="5"/>
      <c r="H1103" s="5"/>
      <c r="I1103" s="5"/>
    </row>
    <row r="1104" spans="2:9" x14ac:dyDescent="0.3">
      <c r="B1104" s="4"/>
      <c r="C1104" s="5"/>
      <c r="D1104" s="5"/>
      <c r="E1104" s="5"/>
      <c r="F1104" s="5"/>
      <c r="G1104" s="5"/>
      <c r="H1104" s="5"/>
      <c r="I1104" s="5"/>
    </row>
    <row r="1105" spans="2:9" x14ac:dyDescent="0.3">
      <c r="B1105" s="4"/>
      <c r="C1105" s="5"/>
      <c r="D1105" s="5"/>
      <c r="E1105" s="5"/>
      <c r="F1105" s="5"/>
      <c r="G1105" s="5"/>
      <c r="H1105" s="5"/>
      <c r="I1105" s="5"/>
    </row>
    <row r="1106" spans="2:9" x14ac:dyDescent="0.3">
      <c r="B1106" s="4"/>
      <c r="C1106" s="5"/>
      <c r="D1106" s="5"/>
      <c r="E1106" s="5"/>
      <c r="F1106" s="5"/>
      <c r="G1106" s="5"/>
      <c r="H1106" s="5"/>
      <c r="I1106" s="5"/>
    </row>
    <row r="1107" spans="2:9" x14ac:dyDescent="0.3">
      <c r="B1107" s="4"/>
      <c r="C1107" s="5"/>
      <c r="D1107" s="5"/>
      <c r="E1107" s="5"/>
      <c r="F1107" s="5"/>
      <c r="G1107" s="5"/>
      <c r="H1107" s="5"/>
      <c r="I1107" s="5"/>
    </row>
    <row r="1108" spans="2:9" x14ac:dyDescent="0.3">
      <c r="B1108" s="4"/>
      <c r="C1108" s="5"/>
      <c r="D1108" s="5"/>
      <c r="E1108" s="5"/>
      <c r="F1108" s="5"/>
      <c r="G1108" s="5"/>
      <c r="H1108" s="5"/>
      <c r="I1108" s="5"/>
    </row>
    <row r="1109" spans="2:9" x14ac:dyDescent="0.3">
      <c r="B1109" s="4"/>
      <c r="C1109" s="5"/>
      <c r="D1109" s="5"/>
      <c r="E1109" s="5"/>
      <c r="F1109" s="5"/>
      <c r="G1109" s="5"/>
      <c r="H1109" s="5"/>
      <c r="I1109" s="5"/>
    </row>
    <row r="1110" spans="2:9" x14ac:dyDescent="0.3">
      <c r="B1110" s="4"/>
      <c r="C1110" s="5"/>
      <c r="D1110" s="5"/>
      <c r="E1110" s="5"/>
      <c r="F1110" s="5"/>
      <c r="G1110" s="5"/>
      <c r="H1110" s="5"/>
      <c r="I1110" s="5"/>
    </row>
    <row r="1111" spans="2:9" x14ac:dyDescent="0.3">
      <c r="B1111" s="4"/>
      <c r="C1111" s="5"/>
      <c r="D1111" s="5"/>
      <c r="E1111" s="5"/>
      <c r="F1111" s="5"/>
      <c r="G1111" s="5"/>
      <c r="H1111" s="5"/>
      <c r="I1111" s="5"/>
    </row>
    <row r="1112" spans="2:9" x14ac:dyDescent="0.3">
      <c r="B1112" s="4"/>
      <c r="C1112" s="5"/>
      <c r="D1112" s="5"/>
      <c r="E1112" s="5"/>
      <c r="F1112" s="5"/>
      <c r="G1112" s="5"/>
      <c r="H1112" s="5"/>
      <c r="I1112" s="5"/>
    </row>
    <row r="1113" spans="2:9" x14ac:dyDescent="0.3">
      <c r="B1113" s="4"/>
      <c r="C1113" s="5"/>
      <c r="D1113" s="5"/>
      <c r="E1113" s="5"/>
      <c r="F1113" s="5"/>
      <c r="G1113" s="5"/>
      <c r="H1113" s="5"/>
      <c r="I1113" s="5"/>
    </row>
    <row r="1114" spans="2:9" x14ac:dyDescent="0.3">
      <c r="B1114" s="4"/>
      <c r="C1114" s="5"/>
      <c r="D1114" s="5"/>
      <c r="E1114" s="5"/>
      <c r="F1114" s="5"/>
      <c r="G1114" s="5"/>
      <c r="H1114" s="5"/>
      <c r="I1114" s="5"/>
    </row>
    <row r="1115" spans="2:9" x14ac:dyDescent="0.3">
      <c r="B1115" s="4"/>
      <c r="C1115" s="5"/>
      <c r="D1115" s="5"/>
      <c r="E1115" s="5"/>
      <c r="F1115" s="5"/>
      <c r="G1115" s="5"/>
      <c r="H1115" s="5"/>
      <c r="I1115" s="5"/>
    </row>
    <row r="1116" spans="2:9" x14ac:dyDescent="0.3">
      <c r="B1116" s="4"/>
      <c r="C1116" s="5"/>
      <c r="D1116" s="5"/>
      <c r="E1116" s="5"/>
      <c r="F1116" s="5"/>
      <c r="G1116" s="5"/>
      <c r="H1116" s="5"/>
      <c r="I1116" s="5"/>
    </row>
    <row r="1117" spans="2:9" x14ac:dyDescent="0.3">
      <c r="B1117" s="4"/>
      <c r="C1117" s="5"/>
      <c r="D1117" s="5"/>
      <c r="E1117" s="5"/>
      <c r="F1117" s="5"/>
      <c r="G1117" s="5"/>
      <c r="H1117" s="5"/>
      <c r="I1117" s="5"/>
    </row>
    <row r="1118" spans="2:9" x14ac:dyDescent="0.3">
      <c r="B1118" s="4"/>
      <c r="C1118" s="5"/>
      <c r="D1118" s="5"/>
      <c r="E1118" s="5"/>
      <c r="F1118" s="5"/>
      <c r="G1118" s="5"/>
      <c r="H1118" s="5"/>
      <c r="I1118" s="5"/>
    </row>
    <row r="1119" spans="2:9" x14ac:dyDescent="0.3">
      <c r="B1119" s="4"/>
      <c r="C1119" s="5"/>
      <c r="D1119" s="5"/>
      <c r="E1119" s="5"/>
      <c r="F1119" s="5"/>
      <c r="G1119" s="5"/>
      <c r="H1119" s="5"/>
      <c r="I1119" s="5"/>
    </row>
    <row r="1120" spans="2:9" x14ac:dyDescent="0.3">
      <c r="B1120" s="4"/>
      <c r="C1120" s="5"/>
      <c r="D1120" s="5"/>
      <c r="E1120" s="5"/>
      <c r="F1120" s="5"/>
      <c r="G1120" s="5"/>
      <c r="H1120" s="5"/>
      <c r="I1120" s="5"/>
    </row>
    <row r="1121" spans="2:9" x14ac:dyDescent="0.3">
      <c r="B1121" s="4"/>
      <c r="C1121" s="5"/>
      <c r="D1121" s="5"/>
      <c r="E1121" s="5"/>
      <c r="F1121" s="5"/>
      <c r="G1121" s="5"/>
      <c r="H1121" s="5"/>
      <c r="I1121" s="5"/>
    </row>
    <row r="1122" spans="2:9" x14ac:dyDescent="0.3">
      <c r="B1122" s="4"/>
      <c r="C1122" s="5"/>
      <c r="D1122" s="5"/>
      <c r="E1122" s="5"/>
      <c r="F1122" s="5"/>
      <c r="G1122" s="5"/>
      <c r="H1122" s="5"/>
      <c r="I1122" s="5"/>
    </row>
    <row r="1123" spans="2:9" x14ac:dyDescent="0.3">
      <c r="B1123" s="4"/>
      <c r="C1123" s="5"/>
      <c r="D1123" s="5"/>
      <c r="E1123" s="5"/>
      <c r="F1123" s="5"/>
      <c r="G1123" s="5"/>
      <c r="H1123" s="5"/>
      <c r="I1123" s="5"/>
    </row>
    <row r="1124" spans="2:9" x14ac:dyDescent="0.3">
      <c r="B1124" s="4"/>
      <c r="C1124" s="5"/>
      <c r="D1124" s="5"/>
      <c r="E1124" s="5"/>
      <c r="F1124" s="5"/>
      <c r="G1124" s="5"/>
      <c r="H1124" s="5"/>
      <c r="I1124" s="5"/>
    </row>
    <row r="1125" spans="2:9" x14ac:dyDescent="0.3">
      <c r="B1125" s="4"/>
      <c r="C1125" s="5"/>
      <c r="D1125" s="5"/>
      <c r="E1125" s="5"/>
      <c r="F1125" s="5"/>
      <c r="G1125" s="5"/>
      <c r="H1125" s="5"/>
      <c r="I1125" s="5"/>
    </row>
    <row r="1126" spans="2:9" x14ac:dyDescent="0.3">
      <c r="B1126" s="4"/>
      <c r="C1126" s="5"/>
      <c r="D1126" s="5"/>
      <c r="E1126" s="5"/>
      <c r="F1126" s="5"/>
      <c r="G1126" s="5"/>
      <c r="H1126" s="5"/>
      <c r="I1126" s="5"/>
    </row>
    <row r="1127" spans="2:9" x14ac:dyDescent="0.3">
      <c r="B1127" s="4"/>
      <c r="C1127" s="5"/>
      <c r="D1127" s="5"/>
      <c r="E1127" s="5"/>
      <c r="F1127" s="5"/>
      <c r="G1127" s="5"/>
      <c r="H1127" s="5"/>
      <c r="I1127" s="5"/>
    </row>
    <row r="1128" spans="2:9" x14ac:dyDescent="0.3">
      <c r="B1128" s="4"/>
      <c r="C1128" s="5"/>
      <c r="D1128" s="5"/>
      <c r="E1128" s="5"/>
      <c r="F1128" s="5"/>
      <c r="G1128" s="5"/>
      <c r="H1128" s="5"/>
      <c r="I1128" s="5"/>
    </row>
    <row r="1129" spans="2:9" x14ac:dyDescent="0.3">
      <c r="B1129" s="4"/>
      <c r="C1129" s="5"/>
      <c r="D1129" s="5"/>
      <c r="E1129" s="5"/>
      <c r="F1129" s="5"/>
      <c r="G1129" s="5"/>
      <c r="H1129" s="5"/>
      <c r="I1129" s="5"/>
    </row>
    <row r="1130" spans="2:9" x14ac:dyDescent="0.3">
      <c r="B1130" s="4"/>
      <c r="C1130" s="5"/>
      <c r="D1130" s="5"/>
      <c r="E1130" s="5"/>
      <c r="F1130" s="5"/>
      <c r="G1130" s="5"/>
      <c r="H1130" s="5"/>
      <c r="I1130" s="5"/>
    </row>
    <row r="1131" spans="2:9" x14ac:dyDescent="0.3">
      <c r="B1131" s="4"/>
      <c r="C1131" s="5"/>
      <c r="D1131" s="5"/>
      <c r="E1131" s="5"/>
      <c r="F1131" s="5"/>
      <c r="G1131" s="5"/>
      <c r="H1131" s="5"/>
      <c r="I1131" s="5"/>
    </row>
    <row r="1132" spans="2:9" x14ac:dyDescent="0.3">
      <c r="B1132" s="4"/>
      <c r="C1132" s="5"/>
      <c r="D1132" s="5"/>
      <c r="E1132" s="5"/>
      <c r="F1132" s="5"/>
      <c r="G1132" s="5"/>
      <c r="H1132" s="5"/>
      <c r="I1132" s="5"/>
    </row>
    <row r="1133" spans="2:9" x14ac:dyDescent="0.3">
      <c r="B1133" s="4"/>
      <c r="C1133" s="5"/>
      <c r="D1133" s="5"/>
      <c r="E1133" s="5"/>
      <c r="F1133" s="5"/>
      <c r="G1133" s="5"/>
      <c r="H1133" s="5"/>
      <c r="I1133" s="5"/>
    </row>
    <row r="1134" spans="2:9" x14ac:dyDescent="0.3">
      <c r="B1134" s="4"/>
      <c r="C1134" s="5"/>
      <c r="D1134" s="5"/>
      <c r="E1134" s="5"/>
      <c r="F1134" s="5"/>
      <c r="G1134" s="5"/>
      <c r="H1134" s="5"/>
      <c r="I1134" s="5"/>
    </row>
    <row r="1135" spans="2:9" x14ac:dyDescent="0.3">
      <c r="B1135" s="4"/>
      <c r="C1135" s="5"/>
      <c r="D1135" s="5"/>
      <c r="E1135" s="5"/>
      <c r="F1135" s="5"/>
      <c r="G1135" s="5"/>
      <c r="H1135" s="5"/>
      <c r="I1135" s="5"/>
    </row>
    <row r="1136" spans="2:9" x14ac:dyDescent="0.3">
      <c r="B1136" s="4"/>
      <c r="C1136" s="5"/>
      <c r="D1136" s="5"/>
      <c r="E1136" s="5"/>
      <c r="F1136" s="5"/>
      <c r="G1136" s="5"/>
      <c r="H1136" s="5"/>
      <c r="I1136" s="5"/>
    </row>
    <row r="1137" spans="2:9" x14ac:dyDescent="0.3">
      <c r="B1137" s="4"/>
      <c r="C1137" s="5"/>
      <c r="D1137" s="5"/>
      <c r="E1137" s="5"/>
      <c r="F1137" s="5"/>
      <c r="G1137" s="5"/>
      <c r="H1137" s="5"/>
      <c r="I1137" s="5"/>
    </row>
    <row r="1138" spans="2:9" x14ac:dyDescent="0.3">
      <c r="B1138" s="4"/>
      <c r="C1138" s="5"/>
      <c r="D1138" s="5"/>
      <c r="E1138" s="5"/>
      <c r="F1138" s="5"/>
      <c r="G1138" s="5"/>
      <c r="H1138" s="5"/>
      <c r="I1138" s="5"/>
    </row>
    <row r="1139" spans="2:9" x14ac:dyDescent="0.3">
      <c r="B1139" s="4"/>
      <c r="C1139" s="5"/>
      <c r="D1139" s="5"/>
      <c r="E1139" s="5"/>
      <c r="F1139" s="5"/>
      <c r="G1139" s="5"/>
      <c r="H1139" s="5"/>
      <c r="I1139" s="5"/>
    </row>
    <row r="1140" spans="2:9" x14ac:dyDescent="0.3">
      <c r="B1140" s="4"/>
      <c r="C1140" s="5"/>
      <c r="D1140" s="5"/>
      <c r="E1140" s="5"/>
      <c r="F1140" s="5"/>
      <c r="G1140" s="5"/>
      <c r="H1140" s="5"/>
      <c r="I1140" s="5"/>
    </row>
    <row r="1141" spans="2:9" x14ac:dyDescent="0.3">
      <c r="B1141" s="4"/>
      <c r="C1141" s="5"/>
      <c r="D1141" s="5"/>
      <c r="E1141" s="5"/>
      <c r="F1141" s="5"/>
      <c r="G1141" s="5"/>
      <c r="H1141" s="5"/>
      <c r="I1141" s="5"/>
    </row>
    <row r="1142" spans="2:9" x14ac:dyDescent="0.3">
      <c r="B1142" s="4"/>
      <c r="C1142" s="5"/>
      <c r="D1142" s="5"/>
      <c r="E1142" s="5"/>
      <c r="F1142" s="5"/>
      <c r="G1142" s="5"/>
      <c r="H1142" s="5"/>
      <c r="I1142" s="5"/>
    </row>
    <row r="1143" spans="2:9" x14ac:dyDescent="0.3">
      <c r="B1143" s="4"/>
      <c r="C1143" s="5"/>
      <c r="D1143" s="5"/>
      <c r="E1143" s="5"/>
      <c r="F1143" s="5"/>
      <c r="G1143" s="5"/>
      <c r="H1143" s="5"/>
      <c r="I1143" s="5"/>
    </row>
    <row r="1144" spans="2:9" x14ac:dyDescent="0.3">
      <c r="B1144" s="4"/>
      <c r="C1144" s="5"/>
      <c r="D1144" s="5"/>
      <c r="E1144" s="5"/>
      <c r="F1144" s="5"/>
      <c r="G1144" s="5"/>
      <c r="H1144" s="5"/>
      <c r="I1144" s="5"/>
    </row>
    <row r="1145" spans="2:9" x14ac:dyDescent="0.3">
      <c r="B1145" s="4"/>
      <c r="C1145" s="5"/>
      <c r="D1145" s="5"/>
      <c r="E1145" s="5"/>
      <c r="F1145" s="5"/>
      <c r="G1145" s="5"/>
      <c r="H1145" s="5"/>
      <c r="I1145" s="5"/>
    </row>
    <row r="1146" spans="2:9" x14ac:dyDescent="0.3">
      <c r="B1146" s="4"/>
      <c r="C1146" s="5"/>
      <c r="D1146" s="5"/>
      <c r="E1146" s="5"/>
      <c r="F1146" s="5"/>
      <c r="G1146" s="5"/>
      <c r="H1146" s="5"/>
      <c r="I1146" s="5"/>
    </row>
    <row r="1147" spans="2:9" x14ac:dyDescent="0.3">
      <c r="B1147" s="4"/>
      <c r="C1147" s="5"/>
      <c r="D1147" s="5"/>
      <c r="E1147" s="5"/>
      <c r="F1147" s="5"/>
      <c r="G1147" s="5"/>
      <c r="H1147" s="5"/>
      <c r="I1147" s="5"/>
    </row>
    <row r="1148" spans="2:9" x14ac:dyDescent="0.3">
      <c r="B1148" s="4"/>
      <c r="C1148" s="5"/>
      <c r="D1148" s="5"/>
      <c r="E1148" s="5"/>
      <c r="F1148" s="5"/>
      <c r="G1148" s="5"/>
      <c r="H1148" s="5"/>
      <c r="I1148" s="5"/>
    </row>
    <row r="1149" spans="2:9" x14ac:dyDescent="0.3">
      <c r="B1149" s="4"/>
      <c r="C1149" s="5"/>
      <c r="D1149" s="5"/>
      <c r="E1149" s="5"/>
      <c r="F1149" s="5"/>
      <c r="G1149" s="5"/>
      <c r="H1149" s="5"/>
      <c r="I1149" s="5"/>
    </row>
    <row r="1150" spans="2:9" x14ac:dyDescent="0.3">
      <c r="B1150" s="4"/>
      <c r="C1150" s="5"/>
      <c r="D1150" s="5"/>
      <c r="E1150" s="5"/>
      <c r="F1150" s="5"/>
      <c r="G1150" s="5"/>
      <c r="H1150" s="5"/>
      <c r="I1150" s="5"/>
    </row>
    <row r="1151" spans="2:9" x14ac:dyDescent="0.3">
      <c r="B1151" s="4"/>
      <c r="C1151" s="5"/>
      <c r="D1151" s="5"/>
      <c r="E1151" s="5"/>
      <c r="F1151" s="5"/>
      <c r="G1151" s="5"/>
      <c r="H1151" s="5"/>
      <c r="I1151" s="5"/>
    </row>
    <row r="1152" spans="2:9" x14ac:dyDescent="0.3">
      <c r="B1152" s="4"/>
      <c r="C1152" s="5"/>
      <c r="D1152" s="5"/>
      <c r="E1152" s="5"/>
      <c r="F1152" s="5"/>
      <c r="G1152" s="5"/>
      <c r="H1152" s="5"/>
      <c r="I1152" s="5"/>
    </row>
    <row r="1153" spans="2:9" x14ac:dyDescent="0.3">
      <c r="B1153" s="4"/>
      <c r="C1153" s="5"/>
      <c r="D1153" s="5"/>
      <c r="E1153" s="5"/>
      <c r="F1153" s="5"/>
      <c r="G1153" s="5"/>
      <c r="H1153" s="5"/>
      <c r="I1153" s="5"/>
    </row>
    <row r="1154" spans="2:9" x14ac:dyDescent="0.3">
      <c r="B1154" s="4"/>
      <c r="C1154" s="5"/>
      <c r="D1154" s="5"/>
      <c r="E1154" s="5"/>
      <c r="F1154" s="5"/>
      <c r="G1154" s="5"/>
      <c r="H1154" s="5"/>
      <c r="I1154" s="5"/>
    </row>
    <row r="1155" spans="2:9" x14ac:dyDescent="0.3">
      <c r="B1155" s="4"/>
      <c r="C1155" s="5"/>
      <c r="D1155" s="5"/>
      <c r="E1155" s="5"/>
      <c r="F1155" s="5"/>
      <c r="G1155" s="5"/>
      <c r="H1155" s="5"/>
      <c r="I1155" s="5"/>
    </row>
    <row r="1156" spans="2:9" x14ac:dyDescent="0.3">
      <c r="B1156" s="4"/>
      <c r="C1156" s="5"/>
      <c r="D1156" s="5"/>
      <c r="E1156" s="5"/>
      <c r="F1156" s="5"/>
      <c r="G1156" s="5"/>
      <c r="H1156" s="5"/>
      <c r="I1156" s="5"/>
    </row>
    <row r="1157" spans="2:9" x14ac:dyDescent="0.3">
      <c r="B1157" s="4"/>
      <c r="C1157" s="5"/>
      <c r="D1157" s="5"/>
      <c r="E1157" s="5"/>
      <c r="F1157" s="5"/>
      <c r="G1157" s="5"/>
      <c r="H1157" s="5"/>
      <c r="I1157" s="5"/>
    </row>
    <row r="1158" spans="2:9" x14ac:dyDescent="0.3">
      <c r="B1158" s="4"/>
      <c r="C1158" s="5"/>
      <c r="D1158" s="5"/>
      <c r="E1158" s="5"/>
      <c r="F1158" s="5"/>
      <c r="G1158" s="5"/>
      <c r="H1158" s="5"/>
      <c r="I1158" s="5"/>
    </row>
    <row r="1159" spans="2:9" x14ac:dyDescent="0.3">
      <c r="B1159" s="4"/>
      <c r="C1159" s="5"/>
      <c r="D1159" s="5"/>
      <c r="E1159" s="5"/>
      <c r="F1159" s="5"/>
      <c r="G1159" s="5"/>
      <c r="H1159" s="5"/>
      <c r="I1159" s="5"/>
    </row>
    <row r="1160" spans="2:9" x14ac:dyDescent="0.3">
      <c r="B1160" s="4"/>
      <c r="C1160" s="5"/>
      <c r="D1160" s="5"/>
      <c r="E1160" s="5"/>
      <c r="F1160" s="5"/>
      <c r="G1160" s="5"/>
      <c r="H1160" s="5"/>
      <c r="I1160" s="5"/>
    </row>
    <row r="1161" spans="2:9" x14ac:dyDescent="0.3">
      <c r="B1161" s="4"/>
      <c r="C1161" s="5"/>
      <c r="D1161" s="5"/>
      <c r="E1161" s="5"/>
      <c r="F1161" s="5"/>
      <c r="G1161" s="5"/>
      <c r="H1161" s="5"/>
      <c r="I1161" s="5"/>
    </row>
    <row r="1162" spans="2:9" x14ac:dyDescent="0.3">
      <c r="B1162" s="4"/>
      <c r="C1162" s="5"/>
      <c r="D1162" s="5"/>
      <c r="E1162" s="5"/>
      <c r="F1162" s="5"/>
      <c r="G1162" s="5"/>
      <c r="H1162" s="5"/>
      <c r="I1162" s="5"/>
    </row>
    <row r="1163" spans="2:9" x14ac:dyDescent="0.3">
      <c r="B1163" s="4"/>
      <c r="C1163" s="5"/>
      <c r="D1163" s="5"/>
      <c r="E1163" s="5"/>
      <c r="F1163" s="5"/>
      <c r="G1163" s="5"/>
      <c r="H1163" s="5"/>
      <c r="I1163" s="5"/>
    </row>
    <row r="1164" spans="2:9" x14ac:dyDescent="0.3">
      <c r="B1164" s="4"/>
      <c r="C1164" s="5"/>
      <c r="D1164" s="5"/>
      <c r="E1164" s="5"/>
      <c r="F1164" s="5"/>
      <c r="G1164" s="5"/>
      <c r="H1164" s="5"/>
      <c r="I1164" s="5"/>
    </row>
    <row r="1165" spans="2:9" x14ac:dyDescent="0.3">
      <c r="B1165" s="4"/>
      <c r="C1165" s="5"/>
      <c r="D1165" s="5"/>
      <c r="E1165" s="5"/>
      <c r="F1165" s="5"/>
      <c r="G1165" s="5"/>
      <c r="H1165" s="5"/>
      <c r="I1165" s="5"/>
    </row>
    <row r="1166" spans="2:9" x14ac:dyDescent="0.3">
      <c r="B1166" s="4"/>
      <c r="C1166" s="5"/>
      <c r="D1166" s="5"/>
      <c r="E1166" s="5"/>
      <c r="F1166" s="5"/>
      <c r="G1166" s="5"/>
      <c r="H1166" s="5"/>
      <c r="I1166" s="5"/>
    </row>
    <row r="1167" spans="2:9" x14ac:dyDescent="0.3">
      <c r="B1167" s="4"/>
      <c r="C1167" s="5"/>
      <c r="D1167" s="5"/>
      <c r="E1167" s="5"/>
      <c r="F1167" s="5"/>
      <c r="G1167" s="5"/>
      <c r="H1167" s="5"/>
      <c r="I1167" s="5"/>
    </row>
    <row r="1168" spans="2:9" x14ac:dyDescent="0.3">
      <c r="B1168" s="4"/>
      <c r="C1168" s="5"/>
      <c r="D1168" s="5"/>
      <c r="E1168" s="5"/>
      <c r="F1168" s="5"/>
      <c r="G1168" s="5"/>
      <c r="H1168" s="5"/>
      <c r="I1168" s="5"/>
    </row>
    <row r="1169" spans="2:9" x14ac:dyDescent="0.3">
      <c r="B1169" s="4"/>
      <c r="C1169" s="5"/>
      <c r="D1169" s="5"/>
      <c r="E1169" s="5"/>
      <c r="F1169" s="5"/>
      <c r="G1169" s="5"/>
      <c r="H1169" s="5"/>
      <c r="I1169" s="5"/>
    </row>
    <row r="1170" spans="2:9" x14ac:dyDescent="0.3">
      <c r="B1170" s="4"/>
      <c r="C1170" s="5"/>
      <c r="D1170" s="5"/>
      <c r="E1170" s="5"/>
      <c r="F1170" s="5"/>
      <c r="G1170" s="5"/>
      <c r="H1170" s="5"/>
      <c r="I1170" s="5"/>
    </row>
    <row r="1171" spans="2:9" x14ac:dyDescent="0.3">
      <c r="B1171" s="4"/>
      <c r="C1171" s="5"/>
      <c r="D1171" s="5"/>
      <c r="E1171" s="5"/>
      <c r="F1171" s="5"/>
      <c r="G1171" s="5"/>
      <c r="H1171" s="5"/>
      <c r="I1171" s="5"/>
    </row>
    <row r="1172" spans="2:9" x14ac:dyDescent="0.3">
      <c r="B1172" s="4"/>
      <c r="C1172" s="5"/>
      <c r="D1172" s="5"/>
      <c r="E1172" s="5"/>
      <c r="F1172" s="5"/>
      <c r="G1172" s="5"/>
      <c r="H1172" s="5"/>
      <c r="I1172" s="5"/>
    </row>
    <row r="1173" spans="2:9" x14ac:dyDescent="0.3">
      <c r="B1173" s="4"/>
      <c r="C1173" s="5"/>
      <c r="D1173" s="5"/>
      <c r="E1173" s="5"/>
      <c r="F1173" s="5"/>
      <c r="G1173" s="5"/>
      <c r="H1173" s="5"/>
      <c r="I1173" s="5"/>
    </row>
    <row r="1174" spans="2:9" x14ac:dyDescent="0.3">
      <c r="B1174" s="4"/>
      <c r="C1174" s="5"/>
      <c r="D1174" s="5"/>
      <c r="E1174" s="5"/>
      <c r="F1174" s="5"/>
      <c r="G1174" s="5"/>
      <c r="H1174" s="5"/>
      <c r="I1174" s="5"/>
    </row>
    <row r="1175" spans="2:9" x14ac:dyDescent="0.3">
      <c r="B1175" s="4"/>
      <c r="C1175" s="5"/>
      <c r="D1175" s="5"/>
      <c r="E1175" s="5"/>
      <c r="F1175" s="5"/>
      <c r="G1175" s="5"/>
      <c r="H1175" s="5"/>
      <c r="I1175" s="5"/>
    </row>
    <row r="1176" spans="2:9" x14ac:dyDescent="0.3">
      <c r="B1176" s="4"/>
      <c r="C1176" s="5"/>
      <c r="D1176" s="5"/>
      <c r="E1176" s="5"/>
      <c r="F1176" s="5"/>
      <c r="G1176" s="5"/>
      <c r="H1176" s="5"/>
      <c r="I1176" s="5"/>
    </row>
    <row r="1177" spans="2:9" x14ac:dyDescent="0.3">
      <c r="B1177" s="4"/>
      <c r="C1177" s="5"/>
      <c r="D1177" s="5"/>
      <c r="E1177" s="5"/>
      <c r="F1177" s="5"/>
      <c r="G1177" s="5"/>
      <c r="H1177" s="5"/>
      <c r="I1177" s="5"/>
    </row>
    <row r="1178" spans="2:9" x14ac:dyDescent="0.3">
      <c r="B1178" s="4"/>
      <c r="C1178" s="5"/>
      <c r="D1178" s="5"/>
      <c r="E1178" s="5"/>
      <c r="F1178" s="5"/>
      <c r="G1178" s="5"/>
      <c r="H1178" s="5"/>
      <c r="I1178" s="5"/>
    </row>
    <row r="1179" spans="2:9" x14ac:dyDescent="0.3">
      <c r="B1179" s="4"/>
      <c r="C1179" s="5"/>
      <c r="D1179" s="5"/>
      <c r="E1179" s="5"/>
      <c r="F1179" s="5"/>
      <c r="G1179" s="5"/>
      <c r="H1179" s="5"/>
      <c r="I1179" s="5"/>
    </row>
    <row r="1180" spans="2:9" x14ac:dyDescent="0.3">
      <c r="B1180" s="4"/>
      <c r="C1180" s="5"/>
      <c r="D1180" s="5"/>
      <c r="E1180" s="5"/>
      <c r="F1180" s="5"/>
      <c r="G1180" s="5"/>
      <c r="H1180" s="5"/>
      <c r="I1180" s="5"/>
    </row>
    <row r="1181" spans="2:9" x14ac:dyDescent="0.3">
      <c r="B1181" s="4"/>
      <c r="C1181" s="5"/>
      <c r="D1181" s="5"/>
      <c r="E1181" s="5"/>
      <c r="F1181" s="5"/>
      <c r="G1181" s="5"/>
      <c r="H1181" s="5"/>
      <c r="I1181" s="5"/>
    </row>
    <row r="1182" spans="2:9" x14ac:dyDescent="0.3">
      <c r="B1182" s="4"/>
      <c r="C1182" s="5"/>
      <c r="D1182" s="5"/>
      <c r="E1182" s="5"/>
      <c r="F1182" s="5"/>
      <c r="G1182" s="5"/>
      <c r="H1182" s="5"/>
      <c r="I1182" s="5"/>
    </row>
    <row r="1183" spans="2:9" x14ac:dyDescent="0.3">
      <c r="B1183" s="4"/>
      <c r="C1183" s="5"/>
      <c r="D1183" s="5"/>
      <c r="E1183" s="5"/>
      <c r="F1183" s="5"/>
      <c r="G1183" s="5"/>
      <c r="H1183" s="5"/>
      <c r="I1183" s="5"/>
    </row>
    <row r="1184" spans="2:9" x14ac:dyDescent="0.3">
      <c r="B1184" s="4"/>
      <c r="C1184" s="5"/>
      <c r="D1184" s="5"/>
      <c r="E1184" s="5"/>
      <c r="F1184" s="5"/>
      <c r="G1184" s="5"/>
      <c r="H1184" s="5"/>
      <c r="I1184" s="5"/>
    </row>
    <row r="1185" spans="2:9" x14ac:dyDescent="0.3">
      <c r="B1185" s="4"/>
      <c r="C1185" s="5"/>
      <c r="D1185" s="5"/>
      <c r="E1185" s="5"/>
      <c r="F1185" s="5"/>
      <c r="G1185" s="5"/>
      <c r="H1185" s="5"/>
      <c r="I1185" s="5"/>
    </row>
    <row r="1186" spans="2:9" x14ac:dyDescent="0.3">
      <c r="B1186" s="4"/>
      <c r="C1186" s="5"/>
      <c r="D1186" s="5"/>
      <c r="E1186" s="5"/>
      <c r="F1186" s="5"/>
      <c r="G1186" s="5"/>
      <c r="H1186" s="5"/>
      <c r="I1186" s="5"/>
    </row>
    <row r="1187" spans="2:9" x14ac:dyDescent="0.3">
      <c r="B1187" s="4"/>
      <c r="C1187" s="5"/>
      <c r="D1187" s="5"/>
      <c r="E1187" s="5"/>
      <c r="F1187" s="5"/>
      <c r="G1187" s="5"/>
      <c r="H1187" s="5"/>
      <c r="I1187" s="5"/>
    </row>
    <row r="1188" spans="2:9" x14ac:dyDescent="0.3">
      <c r="B1188" s="4"/>
      <c r="C1188" s="5"/>
      <c r="D1188" s="5"/>
      <c r="E1188" s="5"/>
      <c r="F1188" s="5"/>
      <c r="G1188" s="5"/>
      <c r="H1188" s="5"/>
      <c r="I1188" s="5"/>
    </row>
    <row r="1189" spans="2:9" x14ac:dyDescent="0.3">
      <c r="B1189" s="4"/>
      <c r="C1189" s="5"/>
      <c r="D1189" s="5"/>
      <c r="E1189" s="5"/>
      <c r="F1189" s="5"/>
      <c r="G1189" s="5"/>
      <c r="H1189" s="5"/>
      <c r="I1189" s="5"/>
    </row>
    <row r="1190" spans="2:9" x14ac:dyDescent="0.3">
      <c r="B1190" s="4"/>
      <c r="C1190" s="5"/>
      <c r="D1190" s="5"/>
      <c r="E1190" s="5"/>
      <c r="F1190" s="5"/>
      <c r="G1190" s="5"/>
      <c r="H1190" s="5"/>
      <c r="I1190" s="5"/>
    </row>
    <row r="1191" spans="2:9" x14ac:dyDescent="0.3">
      <c r="B1191" s="4"/>
      <c r="C1191" s="5"/>
      <c r="D1191" s="5"/>
      <c r="E1191" s="5"/>
      <c r="F1191" s="5"/>
      <c r="G1191" s="5"/>
      <c r="H1191" s="5"/>
      <c r="I1191" s="5"/>
    </row>
    <row r="1192" spans="2:9" x14ac:dyDescent="0.3">
      <c r="B1192" s="4"/>
      <c r="C1192" s="5"/>
      <c r="D1192" s="5"/>
      <c r="E1192" s="5"/>
      <c r="F1192" s="5"/>
      <c r="G1192" s="5"/>
      <c r="H1192" s="5"/>
      <c r="I1192" s="5"/>
    </row>
    <row r="1193" spans="2:9" x14ac:dyDescent="0.3">
      <c r="B1193" s="4"/>
      <c r="C1193" s="5"/>
      <c r="D1193" s="5"/>
      <c r="E1193" s="5"/>
      <c r="F1193" s="5"/>
      <c r="G1193" s="5"/>
      <c r="H1193" s="5"/>
      <c r="I1193" s="5"/>
    </row>
    <row r="1194" spans="2:9" x14ac:dyDescent="0.3">
      <c r="B1194" s="4"/>
      <c r="C1194" s="5"/>
      <c r="D1194" s="5"/>
      <c r="E1194" s="5"/>
      <c r="F1194" s="5"/>
      <c r="G1194" s="5"/>
      <c r="H1194" s="5"/>
      <c r="I1194" s="5"/>
    </row>
    <row r="1195" spans="2:9" x14ac:dyDescent="0.3">
      <c r="B1195" s="4"/>
      <c r="C1195" s="5"/>
      <c r="D1195" s="5"/>
      <c r="E1195" s="5"/>
      <c r="F1195" s="5"/>
      <c r="G1195" s="5"/>
      <c r="H1195" s="5"/>
      <c r="I1195" s="5"/>
    </row>
    <row r="1196" spans="2:9" x14ac:dyDescent="0.3">
      <c r="B1196" s="4"/>
      <c r="C1196" s="5"/>
      <c r="D1196" s="5"/>
      <c r="E1196" s="5"/>
      <c r="F1196" s="5"/>
      <c r="G1196" s="5"/>
      <c r="H1196" s="5"/>
      <c r="I1196" s="5"/>
    </row>
    <row r="1197" spans="2:9" x14ac:dyDescent="0.3">
      <c r="B1197" s="4"/>
      <c r="C1197" s="5"/>
      <c r="D1197" s="5"/>
      <c r="E1197" s="5"/>
      <c r="F1197" s="5"/>
      <c r="G1197" s="5"/>
      <c r="H1197" s="5"/>
      <c r="I1197" s="5"/>
    </row>
    <row r="1198" spans="2:9" x14ac:dyDescent="0.3">
      <c r="B1198" s="4"/>
      <c r="C1198" s="5"/>
      <c r="D1198" s="5"/>
      <c r="E1198" s="5"/>
      <c r="F1198" s="5"/>
      <c r="G1198" s="5"/>
      <c r="H1198" s="5"/>
      <c r="I1198" s="5"/>
    </row>
    <row r="1199" spans="2:9" x14ac:dyDescent="0.3">
      <c r="B1199" s="4"/>
      <c r="C1199" s="5"/>
      <c r="D1199" s="5"/>
      <c r="E1199" s="5"/>
      <c r="F1199" s="5"/>
      <c r="G1199" s="5"/>
      <c r="H1199" s="5"/>
      <c r="I1199" s="5"/>
    </row>
    <row r="1200" spans="2:9" x14ac:dyDescent="0.3">
      <c r="B1200" s="4"/>
      <c r="C1200" s="5"/>
      <c r="D1200" s="5"/>
      <c r="E1200" s="5"/>
      <c r="F1200" s="5"/>
      <c r="G1200" s="5"/>
      <c r="H1200" s="5"/>
      <c r="I1200" s="5"/>
    </row>
    <row r="1201" spans="2:9" x14ac:dyDescent="0.3">
      <c r="B1201" s="4"/>
      <c r="C1201" s="5"/>
      <c r="D1201" s="5"/>
      <c r="E1201" s="5"/>
      <c r="F1201" s="5"/>
      <c r="G1201" s="5"/>
      <c r="H1201" s="5"/>
      <c r="I1201" s="5"/>
    </row>
    <row r="1202" spans="2:9" x14ac:dyDescent="0.3">
      <c r="B1202" s="4"/>
      <c r="C1202" s="5"/>
      <c r="D1202" s="5"/>
      <c r="E1202" s="5"/>
      <c r="F1202" s="5"/>
      <c r="G1202" s="5"/>
      <c r="H1202" s="5"/>
      <c r="I1202" s="5"/>
    </row>
    <row r="1203" spans="2:9" x14ac:dyDescent="0.3">
      <c r="B1203" s="4"/>
      <c r="C1203" s="5"/>
      <c r="D1203" s="5"/>
      <c r="E1203" s="5"/>
      <c r="F1203" s="5"/>
      <c r="G1203" s="5"/>
      <c r="H1203" s="5"/>
      <c r="I1203" s="5"/>
    </row>
    <row r="1204" spans="2:9" x14ac:dyDescent="0.3">
      <c r="B1204" s="4"/>
      <c r="C1204" s="5"/>
      <c r="D1204" s="5"/>
      <c r="E1204" s="5"/>
      <c r="F1204" s="5"/>
      <c r="G1204" s="5"/>
      <c r="H1204" s="5"/>
      <c r="I1204" s="5"/>
    </row>
    <row r="1205" spans="2:9" x14ac:dyDescent="0.3">
      <c r="B1205" s="4"/>
      <c r="C1205" s="5"/>
      <c r="D1205" s="5"/>
      <c r="E1205" s="5"/>
      <c r="F1205" s="5"/>
      <c r="G1205" s="5"/>
      <c r="H1205" s="5"/>
      <c r="I1205" s="5"/>
    </row>
    <row r="1206" spans="2:9" x14ac:dyDescent="0.3">
      <c r="B1206" s="4"/>
      <c r="C1206" s="5"/>
      <c r="D1206" s="5"/>
      <c r="E1206" s="5"/>
      <c r="F1206" s="5"/>
      <c r="G1206" s="5"/>
      <c r="H1206" s="5"/>
      <c r="I1206" s="5"/>
    </row>
    <row r="1207" spans="2:9" x14ac:dyDescent="0.3">
      <c r="B1207" s="4"/>
      <c r="C1207" s="5"/>
      <c r="D1207" s="5"/>
      <c r="E1207" s="5"/>
      <c r="F1207" s="5"/>
      <c r="G1207" s="5"/>
      <c r="H1207" s="5"/>
      <c r="I1207" s="5"/>
    </row>
    <row r="1208" spans="2:9" x14ac:dyDescent="0.3">
      <c r="B1208" s="4"/>
      <c r="C1208" s="5"/>
      <c r="D1208" s="5"/>
      <c r="E1208" s="5"/>
      <c r="F1208" s="5"/>
      <c r="G1208" s="5"/>
      <c r="H1208" s="5"/>
      <c r="I1208" s="5"/>
    </row>
    <row r="1209" spans="2:9" x14ac:dyDescent="0.3">
      <c r="B1209" s="4"/>
      <c r="C1209" s="5"/>
      <c r="D1209" s="5"/>
      <c r="E1209" s="5"/>
      <c r="F1209" s="5"/>
      <c r="G1209" s="5"/>
      <c r="H1209" s="5"/>
      <c r="I1209" s="5"/>
    </row>
    <row r="1210" spans="2:9" x14ac:dyDescent="0.3">
      <c r="B1210" s="4"/>
      <c r="C1210" s="5"/>
      <c r="D1210" s="5"/>
      <c r="E1210" s="5"/>
      <c r="F1210" s="5"/>
      <c r="G1210" s="5"/>
      <c r="H1210" s="5"/>
      <c r="I1210" s="5"/>
    </row>
    <row r="1211" spans="2:9" x14ac:dyDescent="0.3">
      <c r="B1211" s="4"/>
      <c r="C1211" s="5"/>
      <c r="D1211" s="5"/>
      <c r="E1211" s="5"/>
      <c r="F1211" s="5"/>
      <c r="G1211" s="5"/>
      <c r="H1211" s="5"/>
      <c r="I1211" s="5"/>
    </row>
    <row r="1212" spans="2:9" x14ac:dyDescent="0.3">
      <c r="B1212" s="4"/>
      <c r="C1212" s="5"/>
      <c r="D1212" s="5"/>
      <c r="E1212" s="5"/>
      <c r="F1212" s="5"/>
      <c r="G1212" s="5"/>
      <c r="H1212" s="5"/>
      <c r="I1212" s="5"/>
    </row>
    <row r="1213" spans="2:9" x14ac:dyDescent="0.3">
      <c r="B1213" s="4"/>
      <c r="C1213" s="5"/>
      <c r="D1213" s="5"/>
      <c r="E1213" s="5"/>
      <c r="F1213" s="5"/>
      <c r="G1213" s="5"/>
      <c r="H1213" s="5"/>
      <c r="I1213" s="5"/>
    </row>
    <row r="1214" spans="2:9" x14ac:dyDescent="0.3">
      <c r="B1214" s="4"/>
      <c r="C1214" s="5"/>
      <c r="D1214" s="5"/>
      <c r="E1214" s="5"/>
      <c r="F1214" s="5"/>
      <c r="G1214" s="5"/>
      <c r="H1214" s="5"/>
      <c r="I1214" s="5"/>
    </row>
    <row r="1215" spans="2:9" x14ac:dyDescent="0.3">
      <c r="B1215" s="4"/>
      <c r="C1215" s="5"/>
      <c r="D1215" s="5"/>
      <c r="E1215" s="5"/>
      <c r="F1215" s="5"/>
      <c r="G1215" s="5"/>
      <c r="H1215" s="5"/>
      <c r="I1215" s="5"/>
    </row>
    <row r="1216" spans="2:9" x14ac:dyDescent="0.3">
      <c r="B1216" s="4"/>
      <c r="C1216" s="5"/>
      <c r="D1216" s="5"/>
      <c r="E1216" s="5"/>
      <c r="F1216" s="5"/>
      <c r="G1216" s="5"/>
      <c r="H1216" s="5"/>
      <c r="I1216" s="5"/>
    </row>
    <row r="1217" spans="2:9" x14ac:dyDescent="0.3">
      <c r="B1217" s="4"/>
      <c r="C1217" s="5"/>
      <c r="D1217" s="5"/>
      <c r="E1217" s="5"/>
      <c r="F1217" s="5"/>
      <c r="G1217" s="5"/>
      <c r="H1217" s="5"/>
      <c r="I1217" s="5"/>
    </row>
    <row r="1218" spans="2:9" x14ac:dyDescent="0.3">
      <c r="B1218" s="4"/>
      <c r="C1218" s="5"/>
      <c r="D1218" s="5"/>
      <c r="E1218" s="5"/>
      <c r="F1218" s="5"/>
      <c r="G1218" s="5"/>
      <c r="H1218" s="5"/>
      <c r="I1218" s="5"/>
    </row>
    <row r="1219" spans="2:9" x14ac:dyDescent="0.3">
      <c r="B1219" s="4"/>
      <c r="C1219" s="5"/>
      <c r="D1219" s="5"/>
      <c r="E1219" s="5"/>
      <c r="F1219" s="5"/>
      <c r="G1219" s="5"/>
      <c r="H1219" s="5"/>
      <c r="I1219" s="5"/>
    </row>
    <row r="1220" spans="2:9" x14ac:dyDescent="0.3">
      <c r="B1220" s="4"/>
      <c r="C1220" s="5"/>
      <c r="D1220" s="5"/>
      <c r="E1220" s="5"/>
      <c r="F1220" s="5"/>
      <c r="G1220" s="5"/>
      <c r="H1220" s="5"/>
      <c r="I1220" s="5"/>
    </row>
    <row r="1221" spans="2:9" x14ac:dyDescent="0.3">
      <c r="B1221" s="4"/>
      <c r="C1221" s="5"/>
      <c r="D1221" s="5"/>
      <c r="E1221" s="5"/>
      <c r="F1221" s="5"/>
      <c r="G1221" s="5"/>
      <c r="H1221" s="5"/>
      <c r="I1221" s="5"/>
    </row>
    <row r="1222" spans="2:9" x14ac:dyDescent="0.3">
      <c r="B1222" s="4"/>
      <c r="C1222" s="5"/>
      <c r="D1222" s="5"/>
      <c r="E1222" s="5"/>
      <c r="F1222" s="5"/>
      <c r="G1222" s="5"/>
      <c r="H1222" s="5"/>
      <c r="I1222" s="5"/>
    </row>
    <row r="1223" spans="2:9" x14ac:dyDescent="0.3">
      <c r="B1223" s="4"/>
      <c r="C1223" s="5"/>
      <c r="D1223" s="5"/>
      <c r="E1223" s="5"/>
      <c r="F1223" s="5"/>
      <c r="G1223" s="5"/>
      <c r="H1223" s="5"/>
      <c r="I1223" s="5"/>
    </row>
    <row r="1224" spans="2:9" x14ac:dyDescent="0.3">
      <c r="B1224" s="4"/>
      <c r="C1224" s="5"/>
      <c r="D1224" s="5"/>
      <c r="E1224" s="5"/>
      <c r="F1224" s="5"/>
      <c r="G1224" s="5"/>
      <c r="H1224" s="5"/>
      <c r="I1224" s="5"/>
    </row>
    <row r="1225" spans="2:9" x14ac:dyDescent="0.3">
      <c r="B1225" s="4"/>
      <c r="C1225" s="5"/>
      <c r="D1225" s="5"/>
      <c r="E1225" s="5"/>
      <c r="F1225" s="5"/>
      <c r="G1225" s="5"/>
      <c r="H1225" s="5"/>
      <c r="I1225" s="5"/>
    </row>
    <row r="1226" spans="2:9" x14ac:dyDescent="0.3">
      <c r="B1226" s="4"/>
      <c r="C1226" s="5"/>
      <c r="D1226" s="5"/>
      <c r="E1226" s="5"/>
      <c r="F1226" s="5"/>
      <c r="G1226" s="5"/>
      <c r="H1226" s="5"/>
      <c r="I1226" s="5"/>
    </row>
    <row r="1227" spans="2:9" x14ac:dyDescent="0.3">
      <c r="B1227" s="4"/>
      <c r="C1227" s="5"/>
      <c r="D1227" s="5"/>
      <c r="E1227" s="5"/>
      <c r="F1227" s="5"/>
      <c r="G1227" s="5"/>
      <c r="H1227" s="5"/>
      <c r="I1227" s="5"/>
    </row>
    <row r="1228" spans="2:9" x14ac:dyDescent="0.3">
      <c r="B1228" s="4"/>
      <c r="C1228" s="5"/>
      <c r="D1228" s="5"/>
      <c r="E1228" s="5"/>
      <c r="F1228" s="5"/>
      <c r="G1228" s="5"/>
      <c r="H1228" s="5"/>
      <c r="I1228" s="5"/>
    </row>
    <row r="1229" spans="2:9" x14ac:dyDescent="0.3">
      <c r="B1229" s="4"/>
      <c r="C1229" s="5"/>
      <c r="D1229" s="5"/>
      <c r="E1229" s="5"/>
      <c r="F1229" s="5"/>
      <c r="G1229" s="5"/>
      <c r="H1229" s="5"/>
      <c r="I1229" s="5"/>
    </row>
    <row r="1230" spans="2:9" x14ac:dyDescent="0.3">
      <c r="B1230" s="4"/>
      <c r="C1230" s="5"/>
      <c r="D1230" s="5"/>
      <c r="E1230" s="5"/>
      <c r="F1230" s="5"/>
      <c r="G1230" s="5"/>
      <c r="H1230" s="5"/>
      <c r="I1230" s="5"/>
    </row>
    <row r="1231" spans="2:9" x14ac:dyDescent="0.3">
      <c r="B1231" s="4"/>
      <c r="C1231" s="5"/>
      <c r="D1231" s="5"/>
      <c r="E1231" s="5"/>
      <c r="F1231" s="5"/>
      <c r="G1231" s="5"/>
      <c r="H1231" s="5"/>
      <c r="I1231" s="5"/>
    </row>
    <row r="1232" spans="2:9" x14ac:dyDescent="0.3">
      <c r="B1232" s="4"/>
      <c r="C1232" s="5"/>
      <c r="D1232" s="5"/>
      <c r="E1232" s="5"/>
      <c r="F1232" s="5"/>
      <c r="G1232" s="5"/>
      <c r="H1232" s="5"/>
      <c r="I1232" s="5"/>
    </row>
    <row r="1233" spans="2:9" x14ac:dyDescent="0.3">
      <c r="B1233" s="4"/>
      <c r="C1233" s="5"/>
      <c r="D1233" s="5"/>
      <c r="E1233" s="5"/>
      <c r="F1233" s="5"/>
      <c r="G1233" s="5"/>
      <c r="H1233" s="5"/>
      <c r="I1233" s="5"/>
    </row>
    <row r="1234" spans="2:9" x14ac:dyDescent="0.3">
      <c r="B1234" s="4"/>
      <c r="C1234" s="5"/>
      <c r="D1234" s="5"/>
      <c r="E1234" s="5"/>
      <c r="F1234" s="5"/>
      <c r="G1234" s="5"/>
      <c r="H1234" s="5"/>
      <c r="I1234" s="5"/>
    </row>
    <row r="1235" spans="2:9" x14ac:dyDescent="0.3">
      <c r="B1235" s="4"/>
      <c r="C1235" s="5"/>
      <c r="D1235" s="5"/>
      <c r="E1235" s="5"/>
      <c r="F1235" s="5"/>
      <c r="G1235" s="5"/>
      <c r="H1235" s="5"/>
      <c r="I1235" s="5"/>
    </row>
    <row r="1236" spans="2:9" x14ac:dyDescent="0.3">
      <c r="B1236" s="4"/>
      <c r="C1236" s="5"/>
      <c r="D1236" s="5"/>
      <c r="E1236" s="5"/>
      <c r="F1236" s="5"/>
      <c r="G1236" s="5"/>
      <c r="H1236" s="5"/>
      <c r="I1236" s="5"/>
    </row>
    <row r="1237" spans="2:9" x14ac:dyDescent="0.3">
      <c r="B1237" s="4"/>
      <c r="C1237" s="5"/>
      <c r="D1237" s="5"/>
      <c r="E1237" s="5"/>
      <c r="F1237" s="5"/>
      <c r="G1237" s="5"/>
      <c r="H1237" s="5"/>
      <c r="I1237" s="5"/>
    </row>
    <row r="1238" spans="2:9" x14ac:dyDescent="0.3">
      <c r="B1238" s="4"/>
      <c r="C1238" s="5"/>
      <c r="D1238" s="5"/>
      <c r="E1238" s="5"/>
      <c r="F1238" s="5"/>
      <c r="G1238" s="5"/>
      <c r="H1238" s="5"/>
      <c r="I1238" s="5"/>
    </row>
    <row r="1239" spans="2:9" x14ac:dyDescent="0.3">
      <c r="B1239" s="4"/>
      <c r="C1239" s="5"/>
      <c r="D1239" s="5"/>
      <c r="E1239" s="5"/>
      <c r="F1239" s="5"/>
      <c r="G1239" s="5"/>
      <c r="H1239" s="5"/>
      <c r="I1239" s="5"/>
    </row>
    <row r="1240" spans="2:9" x14ac:dyDescent="0.3">
      <c r="B1240" s="4"/>
      <c r="C1240" s="5"/>
      <c r="D1240" s="5"/>
      <c r="E1240" s="5"/>
      <c r="F1240" s="5"/>
      <c r="G1240" s="5"/>
      <c r="H1240" s="5"/>
      <c r="I1240" s="5"/>
    </row>
    <row r="1241" spans="2:9" x14ac:dyDescent="0.3">
      <c r="B1241" s="4"/>
      <c r="C1241" s="5"/>
      <c r="D1241" s="5"/>
      <c r="E1241" s="5"/>
      <c r="F1241" s="5"/>
      <c r="G1241" s="5"/>
      <c r="H1241" s="5"/>
      <c r="I1241" s="5"/>
    </row>
    <row r="1242" spans="2:9" x14ac:dyDescent="0.3">
      <c r="B1242" s="4"/>
      <c r="C1242" s="5"/>
      <c r="D1242" s="5"/>
      <c r="E1242" s="5"/>
      <c r="F1242" s="5"/>
      <c r="G1242" s="5"/>
      <c r="H1242" s="5"/>
      <c r="I1242" s="5"/>
    </row>
    <row r="1243" spans="2:9" x14ac:dyDescent="0.3">
      <c r="B1243" s="4"/>
      <c r="C1243" s="5"/>
      <c r="D1243" s="5"/>
      <c r="E1243" s="5"/>
      <c r="F1243" s="5"/>
      <c r="G1243" s="5"/>
      <c r="H1243" s="5"/>
      <c r="I1243" s="5"/>
    </row>
    <row r="1244" spans="2:9" x14ac:dyDescent="0.3">
      <c r="B1244" s="4"/>
      <c r="C1244" s="5"/>
      <c r="D1244" s="5"/>
      <c r="E1244" s="5"/>
      <c r="F1244" s="5"/>
      <c r="G1244" s="5"/>
      <c r="H1244" s="5"/>
      <c r="I1244" s="5"/>
    </row>
    <row r="1245" spans="2:9" x14ac:dyDescent="0.3">
      <c r="B1245" s="4"/>
      <c r="C1245" s="5"/>
      <c r="D1245" s="5"/>
      <c r="E1245" s="5"/>
      <c r="F1245" s="5"/>
      <c r="G1245" s="5"/>
      <c r="H1245" s="5"/>
      <c r="I1245" s="5"/>
    </row>
    <row r="1246" spans="2:9" x14ac:dyDescent="0.3">
      <c r="B1246" s="4"/>
      <c r="C1246" s="5"/>
      <c r="D1246" s="5"/>
      <c r="E1246" s="5"/>
      <c r="F1246" s="5"/>
      <c r="G1246" s="5"/>
      <c r="H1246" s="5"/>
      <c r="I1246" s="5"/>
    </row>
    <row r="1247" spans="2:9" x14ac:dyDescent="0.3">
      <c r="B1247" s="4"/>
      <c r="C1247" s="5"/>
      <c r="D1247" s="5"/>
      <c r="E1247" s="5"/>
      <c r="F1247" s="5"/>
      <c r="G1247" s="5"/>
      <c r="H1247" s="5"/>
      <c r="I1247" s="5"/>
    </row>
    <row r="1248" spans="2:9" x14ac:dyDescent="0.3">
      <c r="B1248" s="4"/>
      <c r="C1248" s="5"/>
      <c r="D1248" s="5"/>
      <c r="E1248" s="5"/>
      <c r="F1248" s="5"/>
      <c r="G1248" s="5"/>
      <c r="H1248" s="5"/>
      <c r="I1248" s="5"/>
    </row>
    <row r="1249" spans="2:9" x14ac:dyDescent="0.3">
      <c r="B1249" s="4"/>
      <c r="C1249" s="5"/>
      <c r="D1249" s="5"/>
      <c r="E1249" s="5"/>
      <c r="F1249" s="5"/>
      <c r="G1249" s="5"/>
      <c r="H1249" s="5"/>
      <c r="I1249" s="5"/>
    </row>
    <row r="1250" spans="2:9" x14ac:dyDescent="0.3">
      <c r="B1250" s="4"/>
      <c r="C1250" s="5"/>
      <c r="D1250" s="5"/>
      <c r="E1250" s="5"/>
      <c r="F1250" s="5"/>
      <c r="G1250" s="5"/>
      <c r="H1250" s="5"/>
      <c r="I1250" s="5"/>
    </row>
    <row r="1251" spans="2:9" x14ac:dyDescent="0.3">
      <c r="B1251" s="4"/>
      <c r="C1251" s="5"/>
      <c r="D1251" s="5"/>
      <c r="E1251" s="5"/>
      <c r="F1251" s="5"/>
      <c r="G1251" s="5"/>
      <c r="H1251" s="5"/>
      <c r="I1251" s="5"/>
    </row>
    <row r="1252" spans="2:9" x14ac:dyDescent="0.3">
      <c r="B1252" s="4"/>
      <c r="C1252" s="5"/>
      <c r="D1252" s="5"/>
      <c r="E1252" s="5"/>
      <c r="F1252" s="5"/>
      <c r="G1252" s="5"/>
      <c r="H1252" s="5"/>
      <c r="I1252" s="5"/>
    </row>
    <row r="1253" spans="2:9" x14ac:dyDescent="0.3">
      <c r="B1253" s="4"/>
      <c r="C1253" s="5"/>
      <c r="D1253" s="5"/>
      <c r="E1253" s="5"/>
      <c r="F1253" s="5"/>
      <c r="G1253" s="5"/>
      <c r="H1253" s="5"/>
      <c r="I1253" s="5"/>
    </row>
    <row r="1254" spans="2:9" x14ac:dyDescent="0.3">
      <c r="B1254" s="4"/>
      <c r="C1254" s="5"/>
      <c r="D1254" s="5"/>
      <c r="E1254" s="5"/>
      <c r="F1254" s="5"/>
      <c r="G1254" s="5"/>
      <c r="H1254" s="5"/>
      <c r="I1254" s="5"/>
    </row>
    <row r="1255" spans="2:9" x14ac:dyDescent="0.3">
      <c r="B1255" s="4"/>
      <c r="C1255" s="5"/>
      <c r="D1255" s="5"/>
      <c r="E1255" s="5"/>
      <c r="F1255" s="5"/>
      <c r="G1255" s="5"/>
      <c r="H1255" s="5"/>
      <c r="I1255" s="5"/>
    </row>
    <row r="1256" spans="2:9" x14ac:dyDescent="0.3">
      <c r="B1256" s="4"/>
      <c r="C1256" s="5"/>
      <c r="D1256" s="5"/>
      <c r="E1256" s="5"/>
      <c r="F1256" s="5"/>
      <c r="G1256" s="5"/>
      <c r="H1256" s="5"/>
      <c r="I1256" s="5"/>
    </row>
    <row r="1257" spans="2:9" x14ac:dyDescent="0.3">
      <c r="B1257" s="4"/>
      <c r="C1257" s="5"/>
      <c r="D1257" s="5"/>
      <c r="E1257" s="5"/>
      <c r="F1257" s="5"/>
      <c r="G1257" s="5"/>
      <c r="H1257" s="5"/>
      <c r="I1257" s="5"/>
    </row>
    <row r="1258" spans="2:9" x14ac:dyDescent="0.3">
      <c r="B1258" s="4"/>
      <c r="C1258" s="5"/>
      <c r="D1258" s="5"/>
      <c r="E1258" s="5"/>
      <c r="F1258" s="5"/>
      <c r="G1258" s="5"/>
      <c r="H1258" s="5"/>
      <c r="I1258" s="5"/>
    </row>
  </sheetData>
  <mergeCells count="9">
    <mergeCell ref="B6:C6"/>
    <mergeCell ref="B9:I9"/>
    <mergeCell ref="B10:C10"/>
    <mergeCell ref="B2:I2"/>
    <mergeCell ref="B4:B5"/>
    <mergeCell ref="C4:D4"/>
    <mergeCell ref="E4:G4"/>
    <mergeCell ref="H4:H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0ED8-5F11-4532-A128-537BC475DC62}">
  <dimension ref="B2:I36"/>
  <sheetViews>
    <sheetView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4.77734375" customWidth="1"/>
    <col min="2" max="2" width="17.77734375" customWidth="1"/>
    <col min="3" max="9" width="18.77734375" customWidth="1"/>
  </cols>
  <sheetData>
    <row r="2" spans="2:9" ht="20.399999999999999" x14ac:dyDescent="0.35">
      <c r="B2" s="24" t="s">
        <v>11</v>
      </c>
      <c r="C2" s="24"/>
      <c r="D2" s="24"/>
      <c r="E2" s="24"/>
      <c r="F2" s="24"/>
      <c r="G2" s="24"/>
      <c r="H2" s="24"/>
      <c r="I2" s="24"/>
    </row>
    <row r="3" spans="2:9" ht="15" thickBot="1" x14ac:dyDescent="0.35"/>
    <row r="4" spans="2:9" ht="16.2" thickTop="1" x14ac:dyDescent="0.3">
      <c r="B4" s="25" t="s">
        <v>1</v>
      </c>
      <c r="C4" s="27" t="s">
        <v>2</v>
      </c>
      <c r="D4" s="27"/>
      <c r="E4" s="28" t="s">
        <v>3</v>
      </c>
      <c r="F4" s="27"/>
      <c r="G4" s="29"/>
      <c r="H4" s="25" t="s">
        <v>4</v>
      </c>
      <c r="I4" s="30" t="s">
        <v>5</v>
      </c>
    </row>
    <row r="5" spans="2:9" ht="15" thickBot="1" x14ac:dyDescent="0.35">
      <c r="B5" s="33"/>
      <c r="C5" s="13" t="s">
        <v>6</v>
      </c>
      <c r="D5" s="13" t="s">
        <v>7</v>
      </c>
      <c r="E5" s="14" t="s">
        <v>6</v>
      </c>
      <c r="F5" s="13" t="s">
        <v>8</v>
      </c>
      <c r="G5" s="15" t="s">
        <v>9</v>
      </c>
      <c r="H5" s="34"/>
      <c r="I5" s="35"/>
    </row>
    <row r="6" spans="2:9" ht="16.2" thickTop="1" x14ac:dyDescent="0.3">
      <c r="B6" s="32" t="s">
        <v>32</v>
      </c>
      <c r="C6" s="32"/>
      <c r="D6" s="7">
        <f ca="1">SUM(D5:D10)</f>
        <v>0</v>
      </c>
      <c r="E6" s="8"/>
      <c r="F6" s="7">
        <f ca="1">SUM(F5:F10)</f>
        <v>0</v>
      </c>
      <c r="G6" s="7">
        <f ca="1">SUM(G5:G10)</f>
        <v>0</v>
      </c>
      <c r="H6" s="16"/>
      <c r="I6" s="16"/>
    </row>
    <row r="7" spans="2:9" x14ac:dyDescent="0.3">
      <c r="B7" s="4"/>
      <c r="C7" s="5"/>
      <c r="D7" s="5"/>
      <c r="E7" s="5"/>
      <c r="F7" s="5"/>
      <c r="G7" s="5"/>
      <c r="H7" s="5"/>
      <c r="I7" s="5"/>
    </row>
    <row r="8" spans="2:9" x14ac:dyDescent="0.3">
      <c r="B8" s="4"/>
      <c r="C8" s="5"/>
      <c r="D8" s="5"/>
      <c r="E8" s="5"/>
      <c r="F8" s="5"/>
      <c r="G8" s="5"/>
      <c r="H8" s="5"/>
      <c r="I8" s="5"/>
    </row>
    <row r="9" spans="2:9" ht="17.399999999999999" x14ac:dyDescent="0.3">
      <c r="B9" s="19" t="s">
        <v>121</v>
      </c>
      <c r="C9" s="19"/>
      <c r="D9" s="19"/>
      <c r="E9" s="19"/>
      <c r="F9" s="19"/>
      <c r="G9" s="19"/>
      <c r="H9" s="19"/>
      <c r="I9" s="19"/>
    </row>
    <row r="10" spans="2:9" ht="15.6" x14ac:dyDescent="0.3">
      <c r="B10" s="20" t="s">
        <v>119</v>
      </c>
      <c r="C10" s="21"/>
      <c r="D10" s="11">
        <f ca="1">SUM(D9:D10)</f>
        <v>0</v>
      </c>
      <c r="E10" s="16"/>
      <c r="F10" s="11">
        <f ca="1">SUM(F9:F10)</f>
        <v>0</v>
      </c>
      <c r="G10" s="11">
        <f ca="1">SUM(G9:G10)</f>
        <v>0</v>
      </c>
      <c r="H10" s="16"/>
      <c r="I10" s="16"/>
    </row>
    <row r="11" spans="2:9" ht="15.6" x14ac:dyDescent="0.3">
      <c r="B11" s="9"/>
      <c r="C11" s="10"/>
      <c r="D11" s="10"/>
      <c r="E11" s="10"/>
      <c r="F11" s="10"/>
      <c r="G11" s="10"/>
      <c r="H11" s="10"/>
      <c r="I11" s="10"/>
    </row>
    <row r="12" spans="2:9" ht="15.6" x14ac:dyDescent="0.3">
      <c r="B12" s="9"/>
      <c r="C12" s="10"/>
      <c r="D12" s="10"/>
      <c r="E12" s="10"/>
      <c r="F12" s="10"/>
      <c r="G12" s="10"/>
      <c r="H12" s="10"/>
      <c r="I12" s="10"/>
    </row>
    <row r="13" spans="2:9" ht="15.6" x14ac:dyDescent="0.3">
      <c r="B13" s="9"/>
      <c r="C13" s="10"/>
      <c r="D13" s="10"/>
      <c r="E13" s="10"/>
      <c r="F13" s="10"/>
      <c r="G13" s="10"/>
      <c r="H13" s="10"/>
      <c r="I13" s="10"/>
    </row>
    <row r="14" spans="2:9" ht="15.6" x14ac:dyDescent="0.3">
      <c r="B14" s="9"/>
      <c r="C14" s="10"/>
      <c r="D14" s="10"/>
      <c r="E14" s="10"/>
      <c r="F14" s="10"/>
      <c r="G14" s="10"/>
      <c r="H14" s="10"/>
      <c r="I14" s="10"/>
    </row>
    <row r="15" spans="2:9" ht="15.6" x14ac:dyDescent="0.3">
      <c r="B15" s="9"/>
      <c r="C15" s="10"/>
      <c r="D15" s="10"/>
      <c r="E15" s="10"/>
      <c r="F15" s="10"/>
      <c r="G15" s="10"/>
      <c r="H15" s="10"/>
      <c r="I15" s="10"/>
    </row>
    <row r="16" spans="2:9" ht="15.6" x14ac:dyDescent="0.3">
      <c r="B16" s="9"/>
      <c r="C16" s="10"/>
      <c r="D16" s="10"/>
      <c r="E16" s="10"/>
      <c r="F16" s="10"/>
      <c r="G16" s="10"/>
      <c r="H16" s="10"/>
      <c r="I16" s="10"/>
    </row>
    <row r="17" spans="2:9" ht="15.6" x14ac:dyDescent="0.3">
      <c r="B17" s="9"/>
      <c r="C17" s="10"/>
      <c r="D17" s="10"/>
      <c r="E17" s="10"/>
      <c r="F17" s="10"/>
      <c r="G17" s="10"/>
      <c r="H17" s="10"/>
      <c r="I17" s="10"/>
    </row>
    <row r="18" spans="2:9" ht="15.6" x14ac:dyDescent="0.3">
      <c r="B18" s="9"/>
      <c r="C18" s="10"/>
      <c r="D18" s="10"/>
      <c r="E18" s="10"/>
      <c r="F18" s="10"/>
      <c r="G18" s="10"/>
      <c r="H18" s="10"/>
      <c r="I18" s="10"/>
    </row>
    <row r="19" spans="2:9" ht="15.6" x14ac:dyDescent="0.3">
      <c r="B19" s="9"/>
      <c r="C19" s="10"/>
      <c r="D19" s="10"/>
      <c r="E19" s="10"/>
      <c r="F19" s="10"/>
      <c r="G19" s="10"/>
      <c r="H19" s="10"/>
      <c r="I19" s="10"/>
    </row>
    <row r="20" spans="2:9" ht="15.6" x14ac:dyDescent="0.3">
      <c r="B20" s="9"/>
      <c r="C20" s="10"/>
      <c r="D20" s="10"/>
      <c r="E20" s="10"/>
      <c r="F20" s="10"/>
      <c r="G20" s="10"/>
      <c r="H20" s="10"/>
      <c r="I20" s="10"/>
    </row>
    <row r="21" spans="2:9" ht="15.6" x14ac:dyDescent="0.3">
      <c r="B21" s="9"/>
      <c r="C21" s="10"/>
      <c r="D21" s="10"/>
      <c r="E21" s="10"/>
      <c r="F21" s="10"/>
      <c r="G21" s="10"/>
      <c r="H21" s="10"/>
      <c r="I21" s="10"/>
    </row>
    <row r="22" spans="2:9" ht="15.6" x14ac:dyDescent="0.3">
      <c r="B22" s="9"/>
      <c r="C22" s="10"/>
      <c r="D22" s="10"/>
      <c r="E22" s="10"/>
      <c r="F22" s="10"/>
      <c r="G22" s="10"/>
      <c r="H22" s="10"/>
      <c r="I22" s="10"/>
    </row>
    <row r="23" spans="2:9" ht="15.6" x14ac:dyDescent="0.3">
      <c r="B23" s="9"/>
      <c r="C23" s="10"/>
      <c r="D23" s="10"/>
      <c r="E23" s="10"/>
      <c r="F23" s="10"/>
      <c r="G23" s="10"/>
      <c r="H23" s="10"/>
      <c r="I23" s="10"/>
    </row>
    <row r="24" spans="2:9" ht="15.6" x14ac:dyDescent="0.3">
      <c r="B24" s="9"/>
      <c r="C24" s="10"/>
      <c r="D24" s="10"/>
      <c r="E24" s="10"/>
      <c r="F24" s="10"/>
      <c r="G24" s="10"/>
      <c r="H24" s="10"/>
      <c r="I24" s="10"/>
    </row>
    <row r="25" spans="2:9" ht="15.6" x14ac:dyDescent="0.3">
      <c r="B25" s="9"/>
      <c r="C25" s="10"/>
      <c r="D25" s="10"/>
      <c r="E25" s="10"/>
      <c r="F25" s="10"/>
      <c r="G25" s="10"/>
      <c r="H25" s="10"/>
      <c r="I25" s="10"/>
    </row>
    <row r="26" spans="2:9" ht="15.6" x14ac:dyDescent="0.3">
      <c r="B26" s="9"/>
      <c r="C26" s="10"/>
      <c r="D26" s="10"/>
      <c r="E26" s="10"/>
      <c r="F26" s="10"/>
      <c r="G26" s="10"/>
      <c r="H26" s="10"/>
      <c r="I26" s="10"/>
    </row>
    <row r="27" spans="2:9" ht="15.6" x14ac:dyDescent="0.3">
      <c r="B27" s="9"/>
      <c r="C27" s="10"/>
      <c r="D27" s="10"/>
      <c r="E27" s="10"/>
      <c r="F27" s="10"/>
      <c r="G27" s="10"/>
      <c r="H27" s="10"/>
      <c r="I27" s="10"/>
    </row>
    <row r="28" spans="2:9" ht="15.6" x14ac:dyDescent="0.3">
      <c r="B28" s="9"/>
      <c r="C28" s="10"/>
      <c r="D28" s="10"/>
      <c r="E28" s="10"/>
      <c r="F28" s="10"/>
      <c r="G28" s="10"/>
      <c r="H28" s="10"/>
      <c r="I28" s="10"/>
    </row>
    <row r="29" spans="2:9" ht="15.6" x14ac:dyDescent="0.3">
      <c r="B29" s="9"/>
      <c r="C29" s="10"/>
      <c r="D29" s="10"/>
      <c r="E29" s="10"/>
      <c r="F29" s="10"/>
      <c r="G29" s="10"/>
      <c r="H29" s="10"/>
      <c r="I29" s="10"/>
    </row>
    <row r="30" spans="2:9" ht="15.6" x14ac:dyDescent="0.3">
      <c r="B30" s="9"/>
      <c r="C30" s="10"/>
      <c r="D30" s="10"/>
      <c r="E30" s="10"/>
      <c r="F30" s="10"/>
      <c r="G30" s="10"/>
      <c r="H30" s="10"/>
      <c r="I30" s="10"/>
    </row>
    <row r="31" spans="2:9" ht="15.6" x14ac:dyDescent="0.3">
      <c r="B31" s="9"/>
      <c r="C31" s="10"/>
      <c r="D31" s="10"/>
      <c r="E31" s="10"/>
      <c r="F31" s="10"/>
      <c r="G31" s="10"/>
      <c r="H31" s="10"/>
      <c r="I31" s="10"/>
    </row>
    <row r="32" spans="2:9" ht="15.6" x14ac:dyDescent="0.3">
      <c r="B32" s="9"/>
      <c r="C32" s="10"/>
      <c r="D32" s="10"/>
      <c r="E32" s="10"/>
      <c r="F32" s="10"/>
      <c r="G32" s="10"/>
      <c r="H32" s="10"/>
      <c r="I32" s="10"/>
    </row>
    <row r="33" spans="2:9" ht="15.6" x14ac:dyDescent="0.3">
      <c r="B33" s="9"/>
      <c r="C33" s="10"/>
      <c r="D33" s="10"/>
      <c r="E33" s="10"/>
      <c r="F33" s="10"/>
      <c r="G33" s="10"/>
      <c r="H33" s="10"/>
      <c r="I33" s="10"/>
    </row>
    <row r="34" spans="2:9" ht="15.6" x14ac:dyDescent="0.3">
      <c r="B34" s="9"/>
      <c r="C34" s="10"/>
      <c r="D34" s="10"/>
      <c r="E34" s="10"/>
      <c r="F34" s="10"/>
      <c r="G34" s="10"/>
      <c r="H34" s="10"/>
      <c r="I34" s="10"/>
    </row>
    <row r="35" spans="2:9" ht="15.6" x14ac:dyDescent="0.3">
      <c r="B35" s="9"/>
      <c r="C35" s="10"/>
      <c r="D35" s="10"/>
      <c r="E35" s="10"/>
      <c r="F35" s="10"/>
      <c r="G35" s="10"/>
      <c r="H35" s="10"/>
      <c r="I35" s="10"/>
    </row>
    <row r="36" spans="2:9" ht="15.6" x14ac:dyDescent="0.3">
      <c r="B36" s="9"/>
      <c r="C36" s="10"/>
      <c r="D36" s="10"/>
      <c r="E36" s="10"/>
      <c r="F36" s="10"/>
      <c r="G36" s="10"/>
      <c r="H36" s="10"/>
      <c r="I36" s="10"/>
    </row>
  </sheetData>
  <mergeCells count="9">
    <mergeCell ref="B6:C6"/>
    <mergeCell ref="B9:I9"/>
    <mergeCell ref="B10:C10"/>
    <mergeCell ref="B2:I2"/>
    <mergeCell ref="B4:B5"/>
    <mergeCell ref="C4:D4"/>
    <mergeCell ref="E4:G4"/>
    <mergeCell ref="H4:H5"/>
    <mergeCell ref="I4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1033-0FF9-455E-B892-3D96ADFC1A82}">
  <dimension ref="B2:I19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4.77734375" customWidth="1"/>
    <col min="2" max="2" width="17.77734375" customWidth="1"/>
    <col min="3" max="9" width="18.77734375" customWidth="1"/>
  </cols>
  <sheetData>
    <row r="2" spans="2:9" ht="20.399999999999999" x14ac:dyDescent="0.35">
      <c r="B2" s="24" t="s">
        <v>12</v>
      </c>
      <c r="C2" s="24"/>
      <c r="D2" s="24"/>
      <c r="E2" s="24"/>
      <c r="F2" s="24"/>
      <c r="G2" s="24"/>
      <c r="H2" s="24"/>
      <c r="I2" s="24"/>
    </row>
    <row r="3" spans="2:9" ht="15" thickBot="1" x14ac:dyDescent="0.35"/>
    <row r="4" spans="2:9" ht="16.2" thickTop="1" x14ac:dyDescent="0.3">
      <c r="B4" s="25" t="s">
        <v>1</v>
      </c>
      <c r="C4" s="27" t="s">
        <v>2</v>
      </c>
      <c r="D4" s="27"/>
      <c r="E4" s="28" t="s">
        <v>3</v>
      </c>
      <c r="F4" s="27"/>
      <c r="G4" s="29"/>
      <c r="H4" s="25" t="s">
        <v>4</v>
      </c>
      <c r="I4" s="30" t="s">
        <v>5</v>
      </c>
    </row>
    <row r="5" spans="2:9" ht="15" thickBot="1" x14ac:dyDescent="0.35">
      <c r="B5" s="26"/>
      <c r="C5" s="2" t="s">
        <v>6</v>
      </c>
      <c r="D5" s="2" t="s">
        <v>7</v>
      </c>
      <c r="E5" s="1" t="s">
        <v>6</v>
      </c>
      <c r="F5" s="2" t="s">
        <v>8</v>
      </c>
      <c r="G5" s="3" t="s">
        <v>9</v>
      </c>
      <c r="H5" s="26"/>
      <c r="I5" s="31"/>
    </row>
    <row r="6" spans="2:9" ht="18" thickTop="1" x14ac:dyDescent="0.3">
      <c r="B6" s="23" t="s">
        <v>122</v>
      </c>
      <c r="C6" s="23"/>
      <c r="D6" s="23"/>
      <c r="E6" s="23"/>
      <c r="F6" s="23"/>
      <c r="G6" s="23"/>
      <c r="H6" s="23"/>
      <c r="I6" s="23"/>
    </row>
    <row r="7" spans="2:9" ht="15.6" x14ac:dyDescent="0.3">
      <c r="B7" s="17" t="s">
        <v>123</v>
      </c>
      <c r="C7" s="17"/>
      <c r="D7" s="17"/>
    </row>
    <row r="8" spans="2:9" x14ac:dyDescent="0.3">
      <c r="B8" s="4" t="s">
        <v>18</v>
      </c>
      <c r="C8" s="5">
        <v>800</v>
      </c>
      <c r="D8" s="5">
        <v>323330</v>
      </c>
      <c r="E8" s="5">
        <v>0</v>
      </c>
      <c r="F8" s="5">
        <v>0</v>
      </c>
      <c r="G8" s="5">
        <v>0</v>
      </c>
      <c r="H8" s="5">
        <v>5000</v>
      </c>
      <c r="I8" s="5">
        <v>0</v>
      </c>
    </row>
    <row r="9" spans="2:9" x14ac:dyDescent="0.3">
      <c r="B9" s="4" t="s">
        <v>21</v>
      </c>
      <c r="C9" s="5">
        <v>17580</v>
      </c>
      <c r="D9" s="5">
        <v>6712410</v>
      </c>
      <c r="E9" s="5">
        <v>6145</v>
      </c>
      <c r="F9" s="5">
        <v>2381350</v>
      </c>
      <c r="G9" s="5">
        <v>0</v>
      </c>
      <c r="H9" s="5">
        <v>6000</v>
      </c>
      <c r="I9" s="5">
        <v>0</v>
      </c>
    </row>
    <row r="10" spans="2:9" x14ac:dyDescent="0.3">
      <c r="B10" s="4" t="s">
        <v>22</v>
      </c>
      <c r="C10" s="5">
        <v>200</v>
      </c>
      <c r="D10" s="5">
        <v>89280</v>
      </c>
      <c r="E10" s="5">
        <v>200</v>
      </c>
      <c r="F10" s="5">
        <v>91360</v>
      </c>
      <c r="G10" s="5">
        <v>0</v>
      </c>
      <c r="H10" s="5">
        <v>0</v>
      </c>
      <c r="I10" s="5">
        <v>0</v>
      </c>
    </row>
    <row r="11" spans="2:9" x14ac:dyDescent="0.3">
      <c r="B11" s="4" t="s">
        <v>23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2000000</v>
      </c>
      <c r="I11" s="5">
        <v>4487300</v>
      </c>
    </row>
    <row r="12" spans="2:9" x14ac:dyDescent="0.3">
      <c r="B12" s="4" t="s">
        <v>27</v>
      </c>
      <c r="C12" s="5">
        <v>1550</v>
      </c>
      <c r="D12" s="5">
        <v>114435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2:9" x14ac:dyDescent="0.3">
      <c r="B13" s="4" t="s">
        <v>34</v>
      </c>
      <c r="C13" s="5">
        <v>19410</v>
      </c>
      <c r="D13" s="5">
        <v>58230</v>
      </c>
      <c r="E13" s="5">
        <v>10000</v>
      </c>
      <c r="F13" s="5">
        <v>40500</v>
      </c>
      <c r="G13" s="5">
        <v>0</v>
      </c>
      <c r="H13" s="5">
        <v>0</v>
      </c>
      <c r="I13" s="5">
        <v>0</v>
      </c>
    </row>
    <row r="14" spans="2:9" x14ac:dyDescent="0.3">
      <c r="B14" s="4" t="s">
        <v>31</v>
      </c>
      <c r="C14" s="5">
        <v>180</v>
      </c>
      <c r="D14" s="5">
        <v>64205</v>
      </c>
      <c r="E14" s="5">
        <v>960</v>
      </c>
      <c r="F14" s="5">
        <v>346770</v>
      </c>
      <c r="G14" s="5">
        <v>0</v>
      </c>
      <c r="H14" s="5">
        <v>0</v>
      </c>
      <c r="I14" s="5">
        <v>0</v>
      </c>
    </row>
    <row r="15" spans="2:9" ht="15.6" x14ac:dyDescent="0.3">
      <c r="B15" s="18" t="s">
        <v>32</v>
      </c>
      <c r="C15" s="18"/>
      <c r="D15" s="7">
        <f>SUM(D8:D14)</f>
        <v>7361890</v>
      </c>
      <c r="E15" s="8"/>
      <c r="F15" s="7">
        <f>SUM(F8:F14)</f>
        <v>2859980</v>
      </c>
      <c r="G15" s="7">
        <f>SUM(G8:G14)</f>
        <v>0</v>
      </c>
      <c r="H15" s="6"/>
      <c r="I15" s="6"/>
    </row>
    <row r="17" spans="2:9" ht="15.6" x14ac:dyDescent="0.3">
      <c r="B17" s="17" t="s">
        <v>124</v>
      </c>
      <c r="C17" s="17"/>
      <c r="D17" s="17"/>
    </row>
    <row r="18" spans="2:9" x14ac:dyDescent="0.3">
      <c r="B18" s="4" t="s">
        <v>18</v>
      </c>
      <c r="C18" s="5">
        <v>0</v>
      </c>
      <c r="D18" s="5">
        <v>0</v>
      </c>
      <c r="E18" s="5">
        <v>1420</v>
      </c>
      <c r="F18" s="5">
        <v>580910</v>
      </c>
      <c r="G18" s="5">
        <v>0</v>
      </c>
      <c r="H18" s="5">
        <v>2000</v>
      </c>
      <c r="I18" s="5">
        <v>0</v>
      </c>
    </row>
    <row r="19" spans="2:9" x14ac:dyDescent="0.3">
      <c r="B19" s="4" t="s">
        <v>21</v>
      </c>
      <c r="C19" s="5">
        <v>30326</v>
      </c>
      <c r="D19" s="5">
        <v>11586672</v>
      </c>
      <c r="E19" s="5">
        <v>4665</v>
      </c>
      <c r="F19" s="5">
        <v>1811860</v>
      </c>
      <c r="G19" s="5">
        <v>0</v>
      </c>
      <c r="H19" s="5">
        <v>28000</v>
      </c>
      <c r="I19" s="5">
        <v>0</v>
      </c>
    </row>
    <row r="20" spans="2:9" x14ac:dyDescent="0.3">
      <c r="B20" s="4" t="s">
        <v>22</v>
      </c>
      <c r="C20" s="5">
        <v>650</v>
      </c>
      <c r="D20" s="5">
        <v>287975</v>
      </c>
      <c r="E20" s="5">
        <v>300</v>
      </c>
      <c r="F20" s="5">
        <v>136915</v>
      </c>
      <c r="G20" s="5">
        <v>0</v>
      </c>
      <c r="H20" s="5">
        <v>0</v>
      </c>
      <c r="I20" s="5">
        <v>0</v>
      </c>
    </row>
    <row r="21" spans="2:9" x14ac:dyDescent="0.3">
      <c r="B21" s="4" t="s">
        <v>23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12471125</v>
      </c>
    </row>
    <row r="22" spans="2:9" x14ac:dyDescent="0.3">
      <c r="B22" s="4" t="s">
        <v>34</v>
      </c>
      <c r="C22" s="5">
        <v>20</v>
      </c>
      <c r="D22" s="5">
        <v>60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2:9" x14ac:dyDescent="0.3">
      <c r="B23" s="4" t="s">
        <v>31</v>
      </c>
      <c r="C23" s="5">
        <v>1120</v>
      </c>
      <c r="D23" s="5">
        <v>396998</v>
      </c>
      <c r="E23" s="5">
        <v>0</v>
      </c>
      <c r="F23" s="5">
        <v>0</v>
      </c>
      <c r="G23" s="5">
        <v>0</v>
      </c>
      <c r="H23" s="5">
        <v>2000</v>
      </c>
      <c r="I23" s="5">
        <v>0</v>
      </c>
    </row>
    <row r="24" spans="2:9" ht="15.6" x14ac:dyDescent="0.3">
      <c r="B24" s="18" t="s">
        <v>32</v>
      </c>
      <c r="C24" s="18"/>
      <c r="D24" s="7">
        <f>SUM(D18:D23)</f>
        <v>12271705</v>
      </c>
      <c r="E24" s="8"/>
      <c r="F24" s="7">
        <f>SUM(F18:F23)</f>
        <v>2529685</v>
      </c>
      <c r="G24" s="7">
        <f>SUM(G18:G23)</f>
        <v>0</v>
      </c>
      <c r="H24" s="6"/>
      <c r="I24" s="6"/>
    </row>
    <row r="26" spans="2:9" ht="15.6" x14ac:dyDescent="0.3">
      <c r="B26" s="17" t="s">
        <v>125</v>
      </c>
      <c r="C26" s="17"/>
      <c r="D26" s="17"/>
    </row>
    <row r="27" spans="2:9" x14ac:dyDescent="0.3">
      <c r="B27" s="4" t="s">
        <v>20</v>
      </c>
      <c r="C27" s="5">
        <v>0</v>
      </c>
      <c r="D27" s="5">
        <v>0</v>
      </c>
      <c r="E27" s="5">
        <v>5000</v>
      </c>
      <c r="F27" s="5">
        <v>83446</v>
      </c>
      <c r="G27" s="5">
        <v>0</v>
      </c>
      <c r="H27" s="5">
        <v>0</v>
      </c>
      <c r="I27" s="5">
        <v>0</v>
      </c>
    </row>
    <row r="28" spans="2:9" x14ac:dyDescent="0.3">
      <c r="B28" s="4" t="s">
        <v>21</v>
      </c>
      <c r="C28" s="5">
        <v>1500</v>
      </c>
      <c r="D28" s="5">
        <v>574400</v>
      </c>
      <c r="E28" s="5">
        <v>1055</v>
      </c>
      <c r="F28" s="5">
        <v>410069</v>
      </c>
      <c r="G28" s="5">
        <v>0</v>
      </c>
      <c r="H28" s="5">
        <v>0</v>
      </c>
      <c r="I28" s="5">
        <v>0</v>
      </c>
    </row>
    <row r="29" spans="2:9" x14ac:dyDescent="0.3">
      <c r="B29" s="4" t="s">
        <v>23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2000000</v>
      </c>
    </row>
    <row r="30" spans="2:9" x14ac:dyDescent="0.3">
      <c r="B30" s="4" t="s">
        <v>31</v>
      </c>
      <c r="C30" s="5">
        <v>0</v>
      </c>
      <c r="D30" s="5">
        <v>0</v>
      </c>
      <c r="E30" s="5">
        <v>1082</v>
      </c>
      <c r="F30" s="5">
        <v>390800</v>
      </c>
      <c r="G30" s="5">
        <v>0</v>
      </c>
      <c r="H30" s="5">
        <v>0</v>
      </c>
      <c r="I30" s="5">
        <v>0</v>
      </c>
    </row>
    <row r="31" spans="2:9" ht="15.6" x14ac:dyDescent="0.3">
      <c r="B31" s="18" t="s">
        <v>32</v>
      </c>
      <c r="C31" s="18"/>
      <c r="D31" s="7">
        <f>SUM(D27:D30)</f>
        <v>574400</v>
      </c>
      <c r="E31" s="8"/>
      <c r="F31" s="7">
        <f>SUM(F27:F30)</f>
        <v>884315</v>
      </c>
      <c r="G31" s="7">
        <f>SUM(G27:G30)</f>
        <v>0</v>
      </c>
      <c r="H31" s="6"/>
      <c r="I31" s="6"/>
    </row>
    <row r="33" spans="2:9" ht="15.6" x14ac:dyDescent="0.3">
      <c r="B33" s="17" t="s">
        <v>126</v>
      </c>
      <c r="C33" s="17"/>
      <c r="D33" s="17"/>
    </row>
    <row r="34" spans="2:9" x14ac:dyDescent="0.3">
      <c r="B34" s="4" t="s">
        <v>17</v>
      </c>
      <c r="C34" s="5">
        <v>0</v>
      </c>
      <c r="D34" s="5">
        <v>0</v>
      </c>
      <c r="E34" s="5">
        <v>1100</v>
      </c>
      <c r="F34" s="5">
        <v>300925</v>
      </c>
      <c r="G34" s="5">
        <v>0</v>
      </c>
      <c r="H34" s="5">
        <v>0</v>
      </c>
      <c r="I34" s="5">
        <v>2000</v>
      </c>
    </row>
    <row r="35" spans="2:9" x14ac:dyDescent="0.3">
      <c r="B35" s="4" t="s">
        <v>18</v>
      </c>
      <c r="C35" s="5">
        <v>3780</v>
      </c>
      <c r="D35" s="5">
        <v>1534075</v>
      </c>
      <c r="E35" s="5">
        <v>0</v>
      </c>
      <c r="F35" s="5">
        <v>0</v>
      </c>
      <c r="G35" s="5">
        <v>0</v>
      </c>
      <c r="H35" s="5">
        <v>13000</v>
      </c>
      <c r="I35" s="5">
        <v>10000</v>
      </c>
    </row>
    <row r="36" spans="2:9" x14ac:dyDescent="0.3">
      <c r="B36" s="4" t="s">
        <v>21</v>
      </c>
      <c r="C36" s="5">
        <v>17030</v>
      </c>
      <c r="D36" s="5">
        <v>6510883</v>
      </c>
      <c r="E36" s="5">
        <v>15534</v>
      </c>
      <c r="F36" s="5">
        <v>4969184</v>
      </c>
      <c r="G36" s="5">
        <v>1119380</v>
      </c>
      <c r="H36" s="5">
        <v>28050</v>
      </c>
      <c r="I36" s="5">
        <v>18050</v>
      </c>
    </row>
    <row r="37" spans="2:9" x14ac:dyDescent="0.3">
      <c r="B37" s="4" t="s">
        <v>22</v>
      </c>
      <c r="C37" s="5">
        <v>3180</v>
      </c>
      <c r="D37" s="5">
        <v>1424655</v>
      </c>
      <c r="E37" s="5">
        <v>1725</v>
      </c>
      <c r="F37" s="5">
        <v>249145</v>
      </c>
      <c r="G37" s="5">
        <v>541735</v>
      </c>
      <c r="H37" s="5">
        <v>1000</v>
      </c>
      <c r="I37" s="5">
        <v>0</v>
      </c>
    </row>
    <row r="38" spans="2:9" x14ac:dyDescent="0.3">
      <c r="B38" s="4" t="s">
        <v>23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28385065</v>
      </c>
      <c r="I38" s="5">
        <v>38757540</v>
      </c>
    </row>
    <row r="39" spans="2:9" x14ac:dyDescent="0.3">
      <c r="B39" s="4" t="s">
        <v>30</v>
      </c>
      <c r="C39" s="5">
        <v>0</v>
      </c>
      <c r="D39" s="5">
        <v>0</v>
      </c>
      <c r="E39" s="5">
        <v>19850</v>
      </c>
      <c r="F39" s="5">
        <v>258050</v>
      </c>
      <c r="G39" s="5">
        <v>0</v>
      </c>
      <c r="H39" s="5">
        <v>0</v>
      </c>
      <c r="I39" s="5">
        <v>25000</v>
      </c>
    </row>
    <row r="40" spans="2:9" x14ac:dyDescent="0.3">
      <c r="B40" s="4" t="s">
        <v>31</v>
      </c>
      <c r="C40" s="5">
        <v>310</v>
      </c>
      <c r="D40" s="5">
        <v>109512</v>
      </c>
      <c r="E40" s="5">
        <v>2130</v>
      </c>
      <c r="F40" s="5">
        <v>47011</v>
      </c>
      <c r="G40" s="5">
        <v>727000</v>
      </c>
      <c r="H40" s="5">
        <v>8000</v>
      </c>
      <c r="I40" s="5">
        <v>9000</v>
      </c>
    </row>
    <row r="41" spans="2:9" ht="15.6" x14ac:dyDescent="0.3">
      <c r="B41" s="18" t="s">
        <v>32</v>
      </c>
      <c r="C41" s="18"/>
      <c r="D41" s="7">
        <f>SUM(D34:D40)</f>
        <v>9579125</v>
      </c>
      <c r="E41" s="8"/>
      <c r="F41" s="7">
        <f>SUM(F34:F40)</f>
        <v>5824315</v>
      </c>
      <c r="G41" s="7">
        <f>SUM(G34:G40)</f>
        <v>2388115</v>
      </c>
      <c r="H41" s="6"/>
      <c r="I41" s="6"/>
    </row>
    <row r="43" spans="2:9" ht="15.6" x14ac:dyDescent="0.3">
      <c r="B43" s="17" t="s">
        <v>127</v>
      </c>
      <c r="C43" s="17"/>
      <c r="D43" s="17"/>
    </row>
    <row r="44" spans="2:9" x14ac:dyDescent="0.3">
      <c r="B44" s="4" t="s">
        <v>17</v>
      </c>
      <c r="C44" s="5">
        <v>310</v>
      </c>
      <c r="D44" s="5">
        <v>79160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2:9" x14ac:dyDescent="0.3">
      <c r="B45" s="4" t="s">
        <v>18</v>
      </c>
      <c r="C45" s="5">
        <v>60980</v>
      </c>
      <c r="D45" s="5">
        <v>24738983</v>
      </c>
      <c r="E45" s="5">
        <v>0</v>
      </c>
      <c r="F45" s="5">
        <v>0</v>
      </c>
      <c r="G45" s="5">
        <v>0</v>
      </c>
      <c r="H45" s="5">
        <v>42000</v>
      </c>
      <c r="I45" s="5">
        <v>0</v>
      </c>
    </row>
    <row r="46" spans="2:9" x14ac:dyDescent="0.3">
      <c r="B46" s="4" t="s">
        <v>21</v>
      </c>
      <c r="C46" s="5">
        <v>135017</v>
      </c>
      <c r="D46" s="5">
        <v>51628802</v>
      </c>
      <c r="E46" s="5">
        <v>27819</v>
      </c>
      <c r="F46" s="5">
        <v>10816530</v>
      </c>
      <c r="G46" s="5">
        <v>0</v>
      </c>
      <c r="H46" s="5">
        <v>115000</v>
      </c>
      <c r="I46" s="5">
        <v>0</v>
      </c>
    </row>
    <row r="47" spans="2:9" x14ac:dyDescent="0.3">
      <c r="B47" s="4" t="s">
        <v>22</v>
      </c>
      <c r="C47" s="5">
        <v>2530</v>
      </c>
      <c r="D47" s="5">
        <v>1130370</v>
      </c>
      <c r="E47" s="5">
        <v>520</v>
      </c>
      <c r="F47" s="5">
        <v>238225</v>
      </c>
      <c r="G47" s="5">
        <v>0</v>
      </c>
      <c r="H47" s="5">
        <v>2000</v>
      </c>
      <c r="I47" s="5">
        <v>0</v>
      </c>
    </row>
    <row r="48" spans="2:9" x14ac:dyDescent="0.3">
      <c r="B48" s="4" t="s">
        <v>23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2000000</v>
      </c>
      <c r="I48" s="5">
        <v>62970405</v>
      </c>
    </row>
    <row r="49" spans="2:9" x14ac:dyDescent="0.3">
      <c r="B49" s="4" t="s">
        <v>26</v>
      </c>
      <c r="C49" s="5">
        <v>0</v>
      </c>
      <c r="D49" s="5">
        <v>0</v>
      </c>
      <c r="E49" s="5">
        <v>850</v>
      </c>
      <c r="F49" s="5">
        <v>79295</v>
      </c>
      <c r="G49" s="5">
        <v>0</v>
      </c>
      <c r="H49" s="5">
        <v>0</v>
      </c>
      <c r="I49" s="5">
        <v>0</v>
      </c>
    </row>
    <row r="50" spans="2:9" x14ac:dyDescent="0.3">
      <c r="B50" s="4" t="s">
        <v>27</v>
      </c>
      <c r="C50" s="5">
        <v>154</v>
      </c>
      <c r="D50" s="5">
        <v>11440</v>
      </c>
      <c r="E50" s="5">
        <v>880</v>
      </c>
      <c r="F50" s="5">
        <v>69585</v>
      </c>
      <c r="G50" s="5">
        <v>0</v>
      </c>
      <c r="H50" s="5">
        <v>0</v>
      </c>
      <c r="I50" s="5">
        <v>0</v>
      </c>
    </row>
    <row r="51" spans="2:9" x14ac:dyDescent="0.3">
      <c r="B51" s="4" t="s">
        <v>31</v>
      </c>
      <c r="C51" s="5">
        <v>3851</v>
      </c>
      <c r="D51" s="5">
        <v>1364870</v>
      </c>
      <c r="E51" s="5">
        <v>2363</v>
      </c>
      <c r="F51" s="5">
        <v>856090</v>
      </c>
      <c r="G51" s="5">
        <v>0</v>
      </c>
      <c r="H51" s="5">
        <v>0</v>
      </c>
      <c r="I51" s="5">
        <v>0</v>
      </c>
    </row>
    <row r="52" spans="2:9" ht="15.6" x14ac:dyDescent="0.3">
      <c r="B52" s="18" t="s">
        <v>32</v>
      </c>
      <c r="C52" s="18"/>
      <c r="D52" s="7">
        <f>SUM(D44:D51)</f>
        <v>78953625</v>
      </c>
      <c r="E52" s="8"/>
      <c r="F52" s="7">
        <f>SUM(F44:F51)</f>
        <v>12059725</v>
      </c>
      <c r="G52" s="7">
        <f>SUM(G44:G51)</f>
        <v>0</v>
      </c>
      <c r="H52" s="6"/>
      <c r="I52" s="6"/>
    </row>
    <row r="54" spans="2:9" ht="15.6" x14ac:dyDescent="0.3">
      <c r="B54" s="17" t="s">
        <v>128</v>
      </c>
      <c r="C54" s="17"/>
      <c r="D54" s="17"/>
    </row>
    <row r="55" spans="2:9" x14ac:dyDescent="0.3">
      <c r="B55" s="4" t="s">
        <v>18</v>
      </c>
      <c r="C55" s="5">
        <v>9180</v>
      </c>
      <c r="D55" s="5">
        <v>3710690</v>
      </c>
      <c r="E55" s="5">
        <v>0</v>
      </c>
      <c r="F55" s="5">
        <v>0</v>
      </c>
      <c r="G55" s="5">
        <v>0</v>
      </c>
      <c r="H55" s="5">
        <v>10000</v>
      </c>
      <c r="I55" s="5">
        <v>0</v>
      </c>
    </row>
    <row r="56" spans="2:9" x14ac:dyDescent="0.3">
      <c r="B56" s="4" t="s">
        <v>21</v>
      </c>
      <c r="C56" s="5">
        <v>28729</v>
      </c>
      <c r="D56" s="5">
        <v>10947981</v>
      </c>
      <c r="E56" s="5">
        <v>9724</v>
      </c>
      <c r="F56" s="5">
        <v>2559530</v>
      </c>
      <c r="G56" s="5">
        <v>1233925</v>
      </c>
      <c r="H56" s="5">
        <v>15000</v>
      </c>
      <c r="I56" s="5">
        <v>0</v>
      </c>
    </row>
    <row r="57" spans="2:9" x14ac:dyDescent="0.3">
      <c r="B57" s="4" t="s">
        <v>22</v>
      </c>
      <c r="C57" s="5">
        <v>130</v>
      </c>
      <c r="D57" s="5">
        <v>57810</v>
      </c>
      <c r="E57" s="5">
        <v>140</v>
      </c>
      <c r="F57" s="5">
        <v>18410</v>
      </c>
      <c r="G57" s="5">
        <v>45930</v>
      </c>
      <c r="H57" s="5">
        <v>0</v>
      </c>
      <c r="I57" s="5">
        <v>0</v>
      </c>
    </row>
    <row r="58" spans="2:9" x14ac:dyDescent="0.3">
      <c r="B58" s="4" t="s">
        <v>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500000</v>
      </c>
      <c r="I58" s="5">
        <v>12700120</v>
      </c>
    </row>
    <row r="59" spans="2:9" x14ac:dyDescent="0.3">
      <c r="B59" s="4" t="s">
        <v>26</v>
      </c>
      <c r="C59" s="5">
        <v>70</v>
      </c>
      <c r="D59" s="5">
        <v>6005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</row>
    <row r="60" spans="2:9" x14ac:dyDescent="0.3">
      <c r="B60" s="4" t="s">
        <v>27</v>
      </c>
      <c r="C60" s="5">
        <v>0</v>
      </c>
      <c r="D60" s="5">
        <v>0</v>
      </c>
      <c r="E60" s="5">
        <v>1150</v>
      </c>
      <c r="F60" s="5">
        <v>97875</v>
      </c>
      <c r="G60" s="5">
        <v>0</v>
      </c>
      <c r="H60" s="5">
        <v>0</v>
      </c>
      <c r="I60" s="5">
        <v>0</v>
      </c>
    </row>
    <row r="61" spans="2:9" x14ac:dyDescent="0.3">
      <c r="B61" s="4" t="s">
        <v>31</v>
      </c>
      <c r="C61" s="5">
        <v>5151</v>
      </c>
      <c r="D61" s="5">
        <v>1827709</v>
      </c>
      <c r="E61" s="5">
        <v>0</v>
      </c>
      <c r="F61" s="5">
        <v>0</v>
      </c>
      <c r="G61" s="5">
        <v>0</v>
      </c>
      <c r="H61" s="5">
        <v>6000</v>
      </c>
      <c r="I61" s="5">
        <v>0</v>
      </c>
    </row>
    <row r="62" spans="2:9" ht="15.6" x14ac:dyDescent="0.3">
      <c r="B62" s="18" t="s">
        <v>32</v>
      </c>
      <c r="C62" s="18"/>
      <c r="D62" s="7">
        <f>SUM(D55:D61)</f>
        <v>16550195</v>
      </c>
      <c r="E62" s="8"/>
      <c r="F62" s="7">
        <f>SUM(F55:F61)</f>
        <v>2675815</v>
      </c>
      <c r="G62" s="7">
        <f>SUM(G55:G61)</f>
        <v>1279855</v>
      </c>
      <c r="H62" s="6"/>
      <c r="I62" s="6"/>
    </row>
    <row r="64" spans="2:9" ht="15.6" x14ac:dyDescent="0.3">
      <c r="B64" s="17" t="s">
        <v>129</v>
      </c>
      <c r="C64" s="17"/>
      <c r="D64" s="17"/>
    </row>
    <row r="65" spans="2:9" x14ac:dyDescent="0.3">
      <c r="B65" s="4" t="s">
        <v>18</v>
      </c>
      <c r="C65" s="5">
        <v>1070</v>
      </c>
      <c r="D65" s="5">
        <v>432935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</row>
    <row r="66" spans="2:9" x14ac:dyDescent="0.3">
      <c r="B66" s="4" t="s">
        <v>20</v>
      </c>
      <c r="C66" s="5">
        <v>0</v>
      </c>
      <c r="D66" s="5">
        <v>0</v>
      </c>
      <c r="E66" s="5">
        <v>2200</v>
      </c>
      <c r="F66" s="5">
        <v>35840</v>
      </c>
      <c r="G66" s="5">
        <v>0</v>
      </c>
      <c r="H66" s="5">
        <v>0</v>
      </c>
      <c r="I66" s="5">
        <v>0</v>
      </c>
    </row>
    <row r="67" spans="2:9" x14ac:dyDescent="0.3">
      <c r="B67" s="4" t="s">
        <v>21</v>
      </c>
      <c r="C67" s="5">
        <v>25219</v>
      </c>
      <c r="D67" s="5">
        <v>9641133</v>
      </c>
      <c r="E67" s="5">
        <v>6858</v>
      </c>
      <c r="F67" s="5">
        <v>2391850</v>
      </c>
      <c r="G67" s="5">
        <v>301045</v>
      </c>
      <c r="H67" s="5">
        <v>19000</v>
      </c>
      <c r="I67" s="5">
        <v>0</v>
      </c>
    </row>
    <row r="68" spans="2:9" x14ac:dyDescent="0.3">
      <c r="B68" s="4" t="s">
        <v>22</v>
      </c>
      <c r="C68" s="5">
        <v>0</v>
      </c>
      <c r="D68" s="5">
        <v>0</v>
      </c>
      <c r="E68" s="5">
        <v>50</v>
      </c>
      <c r="F68" s="5">
        <v>0</v>
      </c>
      <c r="G68" s="5">
        <v>22800</v>
      </c>
      <c r="H68" s="5">
        <v>0</v>
      </c>
      <c r="I68" s="5">
        <v>0</v>
      </c>
    </row>
    <row r="69" spans="2:9" x14ac:dyDescent="0.3">
      <c r="B69" s="4" t="s">
        <v>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8013645</v>
      </c>
    </row>
    <row r="70" spans="2:9" x14ac:dyDescent="0.3">
      <c r="B70" s="4" t="s">
        <v>26</v>
      </c>
      <c r="C70" s="5">
        <v>40</v>
      </c>
      <c r="D70" s="5">
        <v>3432</v>
      </c>
      <c r="E70" s="5">
        <v>930</v>
      </c>
      <c r="F70" s="5">
        <v>86020</v>
      </c>
      <c r="G70" s="5">
        <v>0</v>
      </c>
      <c r="H70" s="5">
        <v>0</v>
      </c>
      <c r="I70" s="5">
        <v>0</v>
      </c>
    </row>
    <row r="71" spans="2:9" x14ac:dyDescent="0.3">
      <c r="B71" s="4" t="s">
        <v>27</v>
      </c>
      <c r="C71" s="5">
        <v>65</v>
      </c>
      <c r="D71" s="5">
        <v>4825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</row>
    <row r="72" spans="2:9" x14ac:dyDescent="0.3">
      <c r="B72" s="4" t="s">
        <v>34</v>
      </c>
      <c r="C72" s="5">
        <v>7690</v>
      </c>
      <c r="D72" s="5">
        <v>23070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2:9" x14ac:dyDescent="0.3">
      <c r="B73" s="4" t="s">
        <v>31</v>
      </c>
      <c r="C73" s="5">
        <v>1605</v>
      </c>
      <c r="D73" s="5">
        <v>565830</v>
      </c>
      <c r="E73" s="5">
        <v>1305</v>
      </c>
      <c r="F73" s="5">
        <v>1825</v>
      </c>
      <c r="G73" s="5">
        <v>475600</v>
      </c>
      <c r="H73" s="5">
        <v>0</v>
      </c>
      <c r="I73" s="5">
        <v>0</v>
      </c>
    </row>
    <row r="74" spans="2:9" ht="15.6" x14ac:dyDescent="0.3">
      <c r="B74" s="18" t="s">
        <v>32</v>
      </c>
      <c r="C74" s="18"/>
      <c r="D74" s="7">
        <f>SUM(D65:D73)</f>
        <v>10671225</v>
      </c>
      <c r="E74" s="8"/>
      <c r="F74" s="7">
        <f>SUM(F65:F73)</f>
        <v>2515535</v>
      </c>
      <c r="G74" s="7">
        <f>SUM(G65:G73)</f>
        <v>799445</v>
      </c>
      <c r="H74" s="6"/>
      <c r="I74" s="6"/>
    </row>
    <row r="76" spans="2:9" ht="15.6" x14ac:dyDescent="0.3">
      <c r="B76" s="17" t="s">
        <v>130</v>
      </c>
      <c r="C76" s="17"/>
      <c r="D76" s="17"/>
    </row>
    <row r="77" spans="2:9" x14ac:dyDescent="0.3">
      <c r="B77" s="4" t="s">
        <v>15</v>
      </c>
      <c r="C77" s="5">
        <v>0</v>
      </c>
      <c r="D77" s="5">
        <v>0</v>
      </c>
      <c r="E77" s="5">
        <v>1000</v>
      </c>
      <c r="F77" s="5">
        <v>241690</v>
      </c>
      <c r="G77" s="5">
        <v>0</v>
      </c>
      <c r="H77" s="5">
        <v>0</v>
      </c>
      <c r="I77" s="5">
        <v>0</v>
      </c>
    </row>
    <row r="78" spans="2:9" x14ac:dyDescent="0.3">
      <c r="B78" s="4" t="s">
        <v>17</v>
      </c>
      <c r="C78" s="5">
        <v>6600</v>
      </c>
      <c r="D78" s="5">
        <v>1690920</v>
      </c>
      <c r="E78" s="5">
        <v>0</v>
      </c>
      <c r="F78" s="5">
        <v>0</v>
      </c>
      <c r="G78" s="5">
        <v>0</v>
      </c>
      <c r="H78" s="5">
        <v>6000</v>
      </c>
      <c r="I78" s="5">
        <v>0</v>
      </c>
    </row>
    <row r="79" spans="2:9" x14ac:dyDescent="0.3">
      <c r="B79" s="4" t="s">
        <v>18</v>
      </c>
      <c r="C79" s="5">
        <v>24400</v>
      </c>
      <c r="D79" s="5">
        <v>9883880</v>
      </c>
      <c r="E79" s="5">
        <v>2580</v>
      </c>
      <c r="F79" s="5">
        <v>1057890</v>
      </c>
      <c r="G79" s="5">
        <v>0</v>
      </c>
      <c r="H79" s="5">
        <v>27000</v>
      </c>
      <c r="I79" s="5">
        <v>0</v>
      </c>
    </row>
    <row r="80" spans="2:9" x14ac:dyDescent="0.3">
      <c r="B80" s="4" t="s">
        <v>20</v>
      </c>
      <c r="C80" s="5">
        <v>100</v>
      </c>
      <c r="D80" s="5">
        <v>1460</v>
      </c>
      <c r="E80" s="5">
        <v>2400</v>
      </c>
      <c r="F80" s="5">
        <v>40055</v>
      </c>
      <c r="G80" s="5">
        <v>0</v>
      </c>
      <c r="H80" s="5">
        <v>0</v>
      </c>
      <c r="I80" s="5">
        <v>0</v>
      </c>
    </row>
    <row r="81" spans="2:9" x14ac:dyDescent="0.3">
      <c r="B81" s="4" t="s">
        <v>21</v>
      </c>
      <c r="C81" s="5">
        <v>172709</v>
      </c>
      <c r="D81" s="5">
        <v>66064020</v>
      </c>
      <c r="E81" s="5">
        <v>51061</v>
      </c>
      <c r="F81" s="5">
        <v>19821370</v>
      </c>
      <c r="G81" s="5">
        <v>0</v>
      </c>
      <c r="H81" s="5">
        <v>143000</v>
      </c>
      <c r="I81" s="5">
        <v>0</v>
      </c>
    </row>
    <row r="82" spans="2:9" x14ac:dyDescent="0.3">
      <c r="B82" s="4" t="s">
        <v>22</v>
      </c>
      <c r="C82" s="5">
        <v>10625</v>
      </c>
      <c r="D82" s="5">
        <v>4778235</v>
      </c>
      <c r="E82" s="5">
        <v>1650</v>
      </c>
      <c r="F82" s="5">
        <v>752860</v>
      </c>
      <c r="G82" s="5">
        <v>0</v>
      </c>
      <c r="H82" s="5">
        <v>11000</v>
      </c>
      <c r="I82" s="5">
        <v>0</v>
      </c>
    </row>
    <row r="83" spans="2:9" x14ac:dyDescent="0.3">
      <c r="B83" s="4" t="s">
        <v>23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9780345</v>
      </c>
      <c r="I83" s="5">
        <v>86671115</v>
      </c>
    </row>
    <row r="84" spans="2:9" x14ac:dyDescent="0.3">
      <c r="B84" s="4" t="s">
        <v>36</v>
      </c>
      <c r="C84" s="5">
        <v>1000</v>
      </c>
      <c r="D84" s="5">
        <v>88000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</row>
    <row r="85" spans="2:9" x14ac:dyDescent="0.3">
      <c r="B85" s="4" t="s">
        <v>24</v>
      </c>
      <c r="C85" s="5">
        <v>56000</v>
      </c>
      <c r="D85" s="5">
        <v>129920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</row>
    <row r="86" spans="2:9" x14ac:dyDescent="0.3">
      <c r="B86" s="4" t="s">
        <v>26</v>
      </c>
      <c r="C86" s="5">
        <v>0</v>
      </c>
      <c r="D86" s="5">
        <v>0</v>
      </c>
      <c r="E86" s="5">
        <v>1640</v>
      </c>
      <c r="F86" s="5">
        <v>153135</v>
      </c>
      <c r="G86" s="5">
        <v>0</v>
      </c>
      <c r="H86" s="5">
        <v>0</v>
      </c>
      <c r="I86" s="5">
        <v>0</v>
      </c>
    </row>
    <row r="87" spans="2:9" x14ac:dyDescent="0.3">
      <c r="B87" s="4" t="s">
        <v>27</v>
      </c>
      <c r="C87" s="5">
        <v>3000</v>
      </c>
      <c r="D87" s="5">
        <v>222900</v>
      </c>
      <c r="E87" s="5">
        <v>1807</v>
      </c>
      <c r="F87" s="5">
        <v>143150</v>
      </c>
      <c r="G87" s="5">
        <v>0</v>
      </c>
      <c r="H87" s="5">
        <v>10000</v>
      </c>
      <c r="I87" s="5">
        <v>10000</v>
      </c>
    </row>
    <row r="88" spans="2:9" x14ac:dyDescent="0.3">
      <c r="B88" s="4" t="s">
        <v>34</v>
      </c>
      <c r="C88" s="5">
        <v>0</v>
      </c>
      <c r="D88" s="5">
        <v>0</v>
      </c>
      <c r="E88" s="5">
        <v>220</v>
      </c>
      <c r="F88" s="5">
        <v>890</v>
      </c>
      <c r="G88" s="5">
        <v>0</v>
      </c>
      <c r="H88" s="5">
        <v>0</v>
      </c>
      <c r="I88" s="5">
        <v>0</v>
      </c>
    </row>
    <row r="89" spans="2:9" x14ac:dyDescent="0.3">
      <c r="B89" s="4" t="s">
        <v>30</v>
      </c>
      <c r="C89" s="5">
        <v>1265</v>
      </c>
      <c r="D89" s="5">
        <v>12395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</row>
    <row r="90" spans="2:9" x14ac:dyDescent="0.3">
      <c r="B90" s="4" t="s">
        <v>31</v>
      </c>
      <c r="C90" s="5">
        <v>29272</v>
      </c>
      <c r="D90" s="5">
        <v>10382890</v>
      </c>
      <c r="E90" s="5">
        <v>12268</v>
      </c>
      <c r="F90" s="5">
        <v>4438980</v>
      </c>
      <c r="G90" s="5">
        <v>0</v>
      </c>
      <c r="H90" s="5">
        <v>20000</v>
      </c>
      <c r="I90" s="5">
        <v>0</v>
      </c>
    </row>
    <row r="91" spans="2:9" ht="15.6" x14ac:dyDescent="0.3">
      <c r="B91" s="18" t="s">
        <v>32</v>
      </c>
      <c r="C91" s="18"/>
      <c r="D91" s="7">
        <f>SUM(D77:D90)</f>
        <v>93254620</v>
      </c>
      <c r="E91" s="8"/>
      <c r="F91" s="7">
        <f>SUM(F77:F90)</f>
        <v>26650020</v>
      </c>
      <c r="G91" s="7">
        <f>SUM(G77:G90)</f>
        <v>0</v>
      </c>
      <c r="H91" s="6"/>
      <c r="I91" s="6"/>
    </row>
    <row r="93" spans="2:9" ht="15.6" x14ac:dyDescent="0.3">
      <c r="B93" s="17" t="s">
        <v>131</v>
      </c>
      <c r="C93" s="17"/>
      <c r="D93" s="17"/>
    </row>
    <row r="94" spans="2:9" x14ac:dyDescent="0.3">
      <c r="B94" s="4" t="s">
        <v>38</v>
      </c>
      <c r="C94" s="5">
        <v>10</v>
      </c>
      <c r="D94" s="5">
        <v>1875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</row>
    <row r="95" spans="2:9" x14ac:dyDescent="0.3">
      <c r="B95" s="4" t="s">
        <v>17</v>
      </c>
      <c r="C95" s="5">
        <v>450</v>
      </c>
      <c r="D95" s="5">
        <v>114265</v>
      </c>
      <c r="E95" s="5">
        <v>0</v>
      </c>
      <c r="F95" s="5">
        <v>0</v>
      </c>
      <c r="G95" s="5">
        <v>0</v>
      </c>
      <c r="H95" s="5">
        <v>7000</v>
      </c>
      <c r="I95" s="5">
        <v>7000</v>
      </c>
    </row>
    <row r="96" spans="2:9" x14ac:dyDescent="0.3">
      <c r="B96" s="4" t="s">
        <v>18</v>
      </c>
      <c r="C96" s="5">
        <v>1680</v>
      </c>
      <c r="D96" s="5">
        <v>681433</v>
      </c>
      <c r="E96" s="5">
        <v>500</v>
      </c>
      <c r="F96" s="5">
        <v>208595</v>
      </c>
      <c r="G96" s="5">
        <v>0</v>
      </c>
      <c r="H96" s="5">
        <v>6000</v>
      </c>
      <c r="I96" s="5">
        <v>3000</v>
      </c>
    </row>
    <row r="97" spans="2:9" x14ac:dyDescent="0.3">
      <c r="B97" s="4" t="s">
        <v>20</v>
      </c>
      <c r="C97" s="5">
        <v>1500</v>
      </c>
      <c r="D97" s="5">
        <v>21750</v>
      </c>
      <c r="E97" s="5">
        <v>1100</v>
      </c>
      <c r="F97" s="5">
        <v>17810</v>
      </c>
      <c r="G97" s="5">
        <v>0</v>
      </c>
      <c r="H97" s="5">
        <v>0</v>
      </c>
      <c r="I97" s="5">
        <v>0</v>
      </c>
    </row>
    <row r="98" spans="2:9" x14ac:dyDescent="0.3">
      <c r="B98" s="4" t="s">
        <v>21</v>
      </c>
      <c r="C98" s="5">
        <v>17668</v>
      </c>
      <c r="D98" s="5">
        <v>6756367</v>
      </c>
      <c r="E98" s="5">
        <v>3058</v>
      </c>
      <c r="F98" s="5">
        <v>1197525</v>
      </c>
      <c r="G98" s="5">
        <v>0</v>
      </c>
      <c r="H98" s="5">
        <v>17000</v>
      </c>
      <c r="I98" s="5">
        <v>0</v>
      </c>
    </row>
    <row r="99" spans="2:9" x14ac:dyDescent="0.3">
      <c r="B99" s="4" t="s">
        <v>22</v>
      </c>
      <c r="C99" s="5">
        <v>475</v>
      </c>
      <c r="D99" s="5">
        <v>212730</v>
      </c>
      <c r="E99" s="5">
        <v>300</v>
      </c>
      <c r="F99" s="5">
        <v>137410</v>
      </c>
      <c r="G99" s="5">
        <v>0</v>
      </c>
      <c r="H99" s="5">
        <v>3000</v>
      </c>
      <c r="I99" s="5">
        <v>3000</v>
      </c>
    </row>
    <row r="100" spans="2:9" x14ac:dyDescent="0.3">
      <c r="B100" s="4" t="s">
        <v>23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6559270</v>
      </c>
      <c r="I100" s="5">
        <v>13273265</v>
      </c>
    </row>
    <row r="101" spans="2:9" x14ac:dyDescent="0.3">
      <c r="B101" s="4" t="s">
        <v>26</v>
      </c>
      <c r="C101" s="5">
        <v>0</v>
      </c>
      <c r="D101" s="5">
        <v>0</v>
      </c>
      <c r="E101" s="5">
        <v>320</v>
      </c>
      <c r="F101" s="5">
        <v>29275</v>
      </c>
      <c r="G101" s="5">
        <v>0</v>
      </c>
      <c r="H101" s="5">
        <v>0</v>
      </c>
      <c r="I101" s="5">
        <v>0</v>
      </c>
    </row>
    <row r="102" spans="2:9" x14ac:dyDescent="0.3">
      <c r="B102" s="4" t="s">
        <v>27</v>
      </c>
      <c r="C102" s="5">
        <v>606</v>
      </c>
      <c r="D102" s="5">
        <v>44965</v>
      </c>
      <c r="E102" s="5">
        <v>2170</v>
      </c>
      <c r="F102" s="5">
        <v>174255</v>
      </c>
      <c r="G102" s="5">
        <v>0</v>
      </c>
      <c r="H102" s="5">
        <v>0</v>
      </c>
      <c r="I102" s="5">
        <v>0</v>
      </c>
    </row>
    <row r="103" spans="2:9" x14ac:dyDescent="0.3">
      <c r="B103" s="4" t="s">
        <v>34</v>
      </c>
      <c r="C103" s="5">
        <v>100</v>
      </c>
      <c r="D103" s="5">
        <v>300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</row>
    <row r="104" spans="2:9" x14ac:dyDescent="0.3">
      <c r="B104" s="4" t="s">
        <v>31</v>
      </c>
      <c r="C104" s="5">
        <v>850</v>
      </c>
      <c r="D104" s="5">
        <v>302520</v>
      </c>
      <c r="E104" s="5">
        <v>500</v>
      </c>
      <c r="F104" s="5">
        <v>182095</v>
      </c>
      <c r="G104" s="5">
        <v>0</v>
      </c>
      <c r="H104" s="5">
        <v>4000</v>
      </c>
      <c r="I104" s="5">
        <v>2000</v>
      </c>
    </row>
    <row r="105" spans="2:9" ht="15.6" x14ac:dyDescent="0.3">
      <c r="B105" s="18" t="s">
        <v>32</v>
      </c>
      <c r="C105" s="18"/>
      <c r="D105" s="7">
        <f>SUM(D94:D104)</f>
        <v>8136205</v>
      </c>
      <c r="E105" s="8"/>
      <c r="F105" s="7">
        <f>SUM(F94:F104)</f>
        <v>1946965</v>
      </c>
      <c r="G105" s="7">
        <f>SUM(G94:G104)</f>
        <v>0</v>
      </c>
      <c r="H105" s="6"/>
      <c r="I105" s="6"/>
    </row>
    <row r="107" spans="2:9" ht="15.6" x14ac:dyDescent="0.3">
      <c r="B107" s="17" t="s">
        <v>132</v>
      </c>
      <c r="C107" s="17"/>
      <c r="D107" s="17"/>
    </row>
    <row r="108" spans="2:9" x14ac:dyDescent="0.3">
      <c r="B108" s="4" t="s">
        <v>21</v>
      </c>
      <c r="C108" s="5">
        <v>5800</v>
      </c>
      <c r="D108" s="5">
        <v>2201160</v>
      </c>
      <c r="E108" s="5">
        <v>150</v>
      </c>
      <c r="F108" s="5">
        <v>0</v>
      </c>
      <c r="G108" s="5">
        <v>59362</v>
      </c>
      <c r="H108" s="5">
        <v>8000</v>
      </c>
      <c r="I108" s="5">
        <v>0</v>
      </c>
    </row>
    <row r="109" spans="2:9" x14ac:dyDescent="0.3">
      <c r="B109" s="4" t="s">
        <v>22</v>
      </c>
      <c r="C109" s="5">
        <v>80</v>
      </c>
      <c r="D109" s="5">
        <v>35440</v>
      </c>
      <c r="E109" s="5">
        <v>160</v>
      </c>
      <c r="F109" s="5">
        <v>0</v>
      </c>
      <c r="G109" s="5">
        <v>74358</v>
      </c>
      <c r="H109" s="5">
        <v>0</v>
      </c>
      <c r="I109" s="5">
        <v>0</v>
      </c>
    </row>
    <row r="110" spans="2:9" x14ac:dyDescent="0.3">
      <c r="B110" s="4" t="s">
        <v>23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3424980</v>
      </c>
    </row>
    <row r="111" spans="2:9" x14ac:dyDescent="0.3">
      <c r="B111" s="4" t="s">
        <v>27</v>
      </c>
      <c r="C111" s="5">
        <v>33</v>
      </c>
      <c r="D111" s="5">
        <v>2460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2:9" ht="15.6" x14ac:dyDescent="0.3">
      <c r="B112" s="18" t="s">
        <v>32</v>
      </c>
      <c r="C112" s="18"/>
      <c r="D112" s="7">
        <f>SUM(D108:D111)</f>
        <v>2239060</v>
      </c>
      <c r="E112" s="8"/>
      <c r="F112" s="7">
        <f>SUM(F108:F111)</f>
        <v>0</v>
      </c>
      <c r="G112" s="7">
        <f>SUM(G108:G111)</f>
        <v>133720</v>
      </c>
      <c r="H112" s="6"/>
      <c r="I112" s="6"/>
    </row>
    <row r="114" spans="2:9" ht="15.6" x14ac:dyDescent="0.3">
      <c r="B114" s="17" t="s">
        <v>133</v>
      </c>
      <c r="C114" s="17"/>
      <c r="D114" s="17"/>
    </row>
    <row r="115" spans="2:9" x14ac:dyDescent="0.3">
      <c r="B115" s="4" t="s">
        <v>17</v>
      </c>
      <c r="C115" s="5">
        <v>1500</v>
      </c>
      <c r="D115" s="5">
        <v>382950</v>
      </c>
      <c r="E115" s="5">
        <v>0</v>
      </c>
      <c r="F115" s="5">
        <v>0</v>
      </c>
      <c r="G115" s="5">
        <v>0</v>
      </c>
      <c r="H115" s="5">
        <v>1500</v>
      </c>
      <c r="I115" s="5">
        <v>0</v>
      </c>
    </row>
    <row r="116" spans="2:9" x14ac:dyDescent="0.3">
      <c r="B116" s="4" t="s">
        <v>18</v>
      </c>
      <c r="C116" s="5">
        <v>9910</v>
      </c>
      <c r="D116" s="5">
        <v>4012875</v>
      </c>
      <c r="E116" s="5">
        <v>90</v>
      </c>
      <c r="F116" s="5">
        <v>37395</v>
      </c>
      <c r="G116" s="5">
        <v>0</v>
      </c>
      <c r="H116" s="5">
        <v>11000</v>
      </c>
      <c r="I116" s="5">
        <v>0</v>
      </c>
    </row>
    <row r="117" spans="2:9" x14ac:dyDescent="0.3">
      <c r="B117" s="4" t="s">
        <v>20</v>
      </c>
      <c r="C117" s="5">
        <v>200</v>
      </c>
      <c r="D117" s="5">
        <v>2940</v>
      </c>
      <c r="E117" s="5">
        <v>1100</v>
      </c>
      <c r="F117" s="5">
        <v>18360</v>
      </c>
      <c r="G117" s="5">
        <v>0</v>
      </c>
      <c r="H117" s="5">
        <v>0</v>
      </c>
      <c r="I117" s="5">
        <v>0</v>
      </c>
    </row>
    <row r="118" spans="2:9" x14ac:dyDescent="0.3">
      <c r="B118" s="4" t="s">
        <v>21</v>
      </c>
      <c r="C118" s="5">
        <v>12062</v>
      </c>
      <c r="D118" s="5">
        <v>4612990</v>
      </c>
      <c r="E118" s="5">
        <v>4024</v>
      </c>
      <c r="F118" s="5">
        <v>964140</v>
      </c>
      <c r="G118" s="5">
        <v>602988</v>
      </c>
      <c r="H118" s="5">
        <v>10000</v>
      </c>
      <c r="I118" s="5">
        <v>0</v>
      </c>
    </row>
    <row r="119" spans="2:9" x14ac:dyDescent="0.3">
      <c r="B119" s="4" t="s">
        <v>22</v>
      </c>
      <c r="C119" s="5">
        <v>160</v>
      </c>
      <c r="D119" s="5">
        <v>71890</v>
      </c>
      <c r="E119" s="5">
        <v>750</v>
      </c>
      <c r="F119" s="5">
        <v>343210</v>
      </c>
      <c r="G119" s="5">
        <v>0</v>
      </c>
      <c r="H119" s="5">
        <v>0</v>
      </c>
      <c r="I119" s="5">
        <v>0</v>
      </c>
    </row>
    <row r="120" spans="2:9" x14ac:dyDescent="0.3">
      <c r="B120" s="4" t="s">
        <v>23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1000000</v>
      </c>
      <c r="I120" s="5">
        <v>12623870</v>
      </c>
    </row>
    <row r="121" spans="2:9" x14ac:dyDescent="0.3">
      <c r="B121" s="4" t="s">
        <v>26</v>
      </c>
      <c r="C121" s="5">
        <v>150</v>
      </c>
      <c r="D121" s="5">
        <v>13290</v>
      </c>
      <c r="E121" s="5">
        <v>600</v>
      </c>
      <c r="F121" s="5">
        <v>46645</v>
      </c>
      <c r="G121" s="5">
        <v>9370</v>
      </c>
      <c r="H121" s="5">
        <v>0</v>
      </c>
      <c r="I121" s="5">
        <v>0</v>
      </c>
    </row>
    <row r="122" spans="2:9" x14ac:dyDescent="0.3">
      <c r="B122" s="4" t="s">
        <v>27</v>
      </c>
      <c r="C122" s="5">
        <v>2820</v>
      </c>
      <c r="D122" s="5">
        <v>209585</v>
      </c>
      <c r="E122" s="5">
        <v>862</v>
      </c>
      <c r="F122" s="5">
        <v>52365</v>
      </c>
      <c r="G122" s="5">
        <v>15900</v>
      </c>
      <c r="H122" s="5">
        <v>0</v>
      </c>
      <c r="I122" s="5">
        <v>0</v>
      </c>
    </row>
    <row r="123" spans="2:9" x14ac:dyDescent="0.3">
      <c r="B123" s="4" t="s">
        <v>34</v>
      </c>
      <c r="C123" s="5">
        <v>270</v>
      </c>
      <c r="D123" s="5">
        <v>810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</row>
    <row r="124" spans="2:9" x14ac:dyDescent="0.3">
      <c r="B124" s="4" t="s">
        <v>31</v>
      </c>
      <c r="C124" s="5">
        <v>4001</v>
      </c>
      <c r="D124" s="5">
        <v>1418905</v>
      </c>
      <c r="E124" s="5">
        <v>855</v>
      </c>
      <c r="F124" s="5">
        <v>302610</v>
      </c>
      <c r="G124" s="5">
        <v>9072</v>
      </c>
      <c r="H124" s="5">
        <v>1000</v>
      </c>
      <c r="I124" s="5">
        <v>0</v>
      </c>
    </row>
    <row r="125" spans="2:9" ht="15.6" x14ac:dyDescent="0.3">
      <c r="B125" s="18" t="s">
        <v>32</v>
      </c>
      <c r="C125" s="18"/>
      <c r="D125" s="7">
        <f>SUM(D115:D124)</f>
        <v>10726235</v>
      </c>
      <c r="E125" s="8"/>
      <c r="F125" s="7">
        <f>SUM(F115:F124)</f>
        <v>1764725</v>
      </c>
      <c r="G125" s="7">
        <f>SUM(G115:G124)</f>
        <v>637330</v>
      </c>
      <c r="H125" s="6"/>
      <c r="I125" s="6"/>
    </row>
    <row r="127" spans="2:9" ht="15.6" x14ac:dyDescent="0.3">
      <c r="B127" s="17" t="s">
        <v>134</v>
      </c>
      <c r="C127" s="17"/>
      <c r="D127" s="17"/>
    </row>
    <row r="128" spans="2:9" x14ac:dyDescent="0.3">
      <c r="B128" s="4" t="s">
        <v>18</v>
      </c>
      <c r="C128" s="5">
        <v>6570</v>
      </c>
      <c r="D128" s="5">
        <v>2657274</v>
      </c>
      <c r="E128" s="5">
        <v>1430</v>
      </c>
      <c r="F128" s="5">
        <v>586080</v>
      </c>
      <c r="G128" s="5">
        <v>0</v>
      </c>
      <c r="H128" s="5">
        <v>2000</v>
      </c>
      <c r="I128" s="5">
        <v>0</v>
      </c>
    </row>
    <row r="129" spans="2:9" x14ac:dyDescent="0.3">
      <c r="B129" s="4" t="s">
        <v>20</v>
      </c>
      <c r="C129" s="5">
        <v>32400</v>
      </c>
      <c r="D129" s="5">
        <v>475300</v>
      </c>
      <c r="E129" s="5">
        <v>500</v>
      </c>
      <c r="F129" s="5">
        <v>8345</v>
      </c>
      <c r="G129" s="5">
        <v>0</v>
      </c>
      <c r="H129" s="5">
        <v>0</v>
      </c>
      <c r="I129" s="5">
        <v>0</v>
      </c>
    </row>
    <row r="130" spans="2:9" x14ac:dyDescent="0.3">
      <c r="B130" s="4" t="s">
        <v>21</v>
      </c>
      <c r="C130" s="5">
        <v>83147</v>
      </c>
      <c r="D130" s="5">
        <v>31866426</v>
      </c>
      <c r="E130" s="5">
        <v>18063</v>
      </c>
      <c r="F130" s="5">
        <v>7018976</v>
      </c>
      <c r="G130" s="5">
        <v>0</v>
      </c>
      <c r="H130" s="5">
        <v>76000</v>
      </c>
      <c r="I130" s="5">
        <v>0</v>
      </c>
    </row>
    <row r="131" spans="2:9" x14ac:dyDescent="0.3">
      <c r="B131" s="4" t="s">
        <v>22</v>
      </c>
      <c r="C131" s="5">
        <v>15480</v>
      </c>
      <c r="D131" s="5">
        <v>6971975</v>
      </c>
      <c r="E131" s="5">
        <v>740</v>
      </c>
      <c r="F131" s="5">
        <v>336275</v>
      </c>
      <c r="G131" s="5">
        <v>0</v>
      </c>
      <c r="H131" s="5">
        <v>8000</v>
      </c>
      <c r="I131" s="5">
        <v>0</v>
      </c>
    </row>
    <row r="132" spans="2:9" x14ac:dyDescent="0.3">
      <c r="B132" s="4" t="s">
        <v>23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6846400</v>
      </c>
      <c r="I132" s="5">
        <v>34034335</v>
      </c>
    </row>
    <row r="133" spans="2:9" x14ac:dyDescent="0.3">
      <c r="B133" s="4" t="s">
        <v>26</v>
      </c>
      <c r="C133" s="5">
        <v>670</v>
      </c>
      <c r="D133" s="5">
        <v>59000</v>
      </c>
      <c r="E133" s="5">
        <v>21170</v>
      </c>
      <c r="F133" s="5">
        <v>1969189</v>
      </c>
      <c r="G133" s="5">
        <v>0</v>
      </c>
      <c r="H133" s="5">
        <v>0</v>
      </c>
      <c r="I133" s="5">
        <v>15000</v>
      </c>
    </row>
    <row r="134" spans="2:9" x14ac:dyDescent="0.3">
      <c r="B134" s="4" t="s">
        <v>27</v>
      </c>
      <c r="C134" s="5">
        <v>660</v>
      </c>
      <c r="D134" s="5">
        <v>50065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</row>
    <row r="135" spans="2:9" x14ac:dyDescent="0.3">
      <c r="B135" s="4" t="s">
        <v>34</v>
      </c>
      <c r="C135" s="5">
        <v>5250</v>
      </c>
      <c r="D135" s="5">
        <v>15750</v>
      </c>
      <c r="E135" s="5">
        <v>7000</v>
      </c>
      <c r="F135" s="5">
        <v>28350</v>
      </c>
      <c r="G135" s="5">
        <v>0</v>
      </c>
      <c r="H135" s="5">
        <v>0</v>
      </c>
      <c r="I135" s="5">
        <v>0</v>
      </c>
    </row>
    <row r="136" spans="2:9" x14ac:dyDescent="0.3">
      <c r="B136" s="4" t="s">
        <v>31</v>
      </c>
      <c r="C136" s="5">
        <v>5190</v>
      </c>
      <c r="D136" s="5">
        <v>1845000</v>
      </c>
      <c r="E136" s="5">
        <v>13122</v>
      </c>
      <c r="F136" s="5">
        <v>4745920</v>
      </c>
      <c r="G136" s="5">
        <v>0</v>
      </c>
      <c r="H136" s="5">
        <v>0</v>
      </c>
      <c r="I136" s="5">
        <v>10500</v>
      </c>
    </row>
    <row r="137" spans="2:9" ht="15.6" x14ac:dyDescent="0.3">
      <c r="B137" s="18" t="s">
        <v>32</v>
      </c>
      <c r="C137" s="18"/>
      <c r="D137" s="7">
        <f>SUM(D128:D136)</f>
        <v>43940790</v>
      </c>
      <c r="E137" s="8"/>
      <c r="F137" s="7">
        <f>SUM(F128:F136)</f>
        <v>14693135</v>
      </c>
      <c r="G137" s="7">
        <f>SUM(G128:G136)</f>
        <v>0</v>
      </c>
      <c r="H137" s="6"/>
      <c r="I137" s="6"/>
    </row>
    <row r="139" spans="2:9" ht="15.6" x14ac:dyDescent="0.3">
      <c r="B139" s="17" t="s">
        <v>135</v>
      </c>
      <c r="C139" s="17"/>
      <c r="D139" s="17"/>
    </row>
    <row r="140" spans="2:9" x14ac:dyDescent="0.3">
      <c r="B140" s="4" t="s">
        <v>18</v>
      </c>
      <c r="C140" s="5">
        <v>140</v>
      </c>
      <c r="D140" s="5">
        <v>55300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</row>
    <row r="141" spans="2:9" x14ac:dyDescent="0.3">
      <c r="B141" s="4" t="s">
        <v>20</v>
      </c>
      <c r="C141" s="5">
        <v>0</v>
      </c>
      <c r="D141" s="5">
        <v>0</v>
      </c>
      <c r="E141" s="5">
        <v>2200</v>
      </c>
      <c r="F141" s="5">
        <v>38355</v>
      </c>
      <c r="G141" s="5">
        <v>0</v>
      </c>
      <c r="H141" s="5">
        <v>0</v>
      </c>
      <c r="I141" s="5">
        <v>0</v>
      </c>
    </row>
    <row r="142" spans="2:9" x14ac:dyDescent="0.3">
      <c r="B142" s="4" t="s">
        <v>21</v>
      </c>
      <c r="C142" s="5">
        <v>14929</v>
      </c>
      <c r="D142" s="5">
        <v>5671004</v>
      </c>
      <c r="E142" s="5">
        <v>4748</v>
      </c>
      <c r="F142" s="5">
        <v>1718745</v>
      </c>
      <c r="G142" s="5">
        <v>158550</v>
      </c>
      <c r="H142" s="5">
        <v>9000</v>
      </c>
      <c r="I142" s="5">
        <v>0</v>
      </c>
    </row>
    <row r="143" spans="2:9" x14ac:dyDescent="0.3">
      <c r="B143" s="4" t="s">
        <v>22</v>
      </c>
      <c r="C143" s="5">
        <v>275</v>
      </c>
      <c r="D143" s="5">
        <v>121640</v>
      </c>
      <c r="E143" s="5">
        <v>15</v>
      </c>
      <c r="F143" s="5">
        <v>6900</v>
      </c>
      <c r="G143" s="5">
        <v>0</v>
      </c>
      <c r="H143" s="5">
        <v>2000</v>
      </c>
      <c r="I143" s="5">
        <v>0</v>
      </c>
    </row>
    <row r="144" spans="2:9" x14ac:dyDescent="0.3">
      <c r="B144" s="4" t="s">
        <v>23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1000000</v>
      </c>
      <c r="I144" s="5">
        <v>5125250</v>
      </c>
    </row>
    <row r="145" spans="2:9" x14ac:dyDescent="0.3">
      <c r="B145" s="4" t="s">
        <v>36</v>
      </c>
      <c r="C145" s="5">
        <v>220</v>
      </c>
      <c r="D145" s="5">
        <v>18780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</row>
    <row r="146" spans="2:9" x14ac:dyDescent="0.3">
      <c r="B146" s="4" t="s">
        <v>26</v>
      </c>
      <c r="C146" s="5">
        <v>0</v>
      </c>
      <c r="D146" s="5">
        <v>0</v>
      </c>
      <c r="E146" s="5">
        <v>980</v>
      </c>
      <c r="F146" s="5">
        <v>50720</v>
      </c>
      <c r="G146" s="5">
        <v>45185</v>
      </c>
      <c r="H146" s="5">
        <v>0</v>
      </c>
      <c r="I146" s="5">
        <v>0</v>
      </c>
    </row>
    <row r="147" spans="2:9" x14ac:dyDescent="0.3">
      <c r="B147" s="4" t="s">
        <v>27</v>
      </c>
      <c r="C147" s="5">
        <v>1460</v>
      </c>
      <c r="D147" s="5">
        <v>104935</v>
      </c>
      <c r="E147" s="5">
        <v>225</v>
      </c>
      <c r="F147" s="5">
        <v>19140</v>
      </c>
      <c r="G147" s="5">
        <v>0</v>
      </c>
      <c r="H147" s="5">
        <v>0</v>
      </c>
      <c r="I147" s="5">
        <v>0</v>
      </c>
    </row>
    <row r="148" spans="2:9" x14ac:dyDescent="0.3">
      <c r="B148" s="4" t="s">
        <v>30</v>
      </c>
      <c r="C148" s="5">
        <v>5</v>
      </c>
      <c r="D148" s="5">
        <v>47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2:9" x14ac:dyDescent="0.3">
      <c r="B149" s="4" t="s">
        <v>31</v>
      </c>
      <c r="C149" s="5">
        <v>803</v>
      </c>
      <c r="D149" s="5">
        <v>280709</v>
      </c>
      <c r="E149" s="5">
        <v>23</v>
      </c>
      <c r="F149" s="5">
        <v>1115</v>
      </c>
      <c r="G149" s="5">
        <v>7420</v>
      </c>
      <c r="H149" s="5">
        <v>2500</v>
      </c>
      <c r="I149" s="5">
        <v>0</v>
      </c>
    </row>
    <row r="150" spans="2:9" ht="15.6" x14ac:dyDescent="0.3">
      <c r="B150" s="18" t="s">
        <v>32</v>
      </c>
      <c r="C150" s="18"/>
      <c r="D150" s="7">
        <f>SUM(D140:D149)</f>
        <v>6252415</v>
      </c>
      <c r="E150" s="8"/>
      <c r="F150" s="7">
        <f>SUM(F140:F149)</f>
        <v>1834975</v>
      </c>
      <c r="G150" s="7">
        <f>SUM(G140:G149)</f>
        <v>211155</v>
      </c>
      <c r="H150" s="6"/>
      <c r="I150" s="6"/>
    </row>
    <row r="152" spans="2:9" ht="15.6" x14ac:dyDescent="0.3">
      <c r="B152" s="17" t="s">
        <v>136</v>
      </c>
      <c r="C152" s="17"/>
      <c r="D152" s="17"/>
    </row>
    <row r="153" spans="2:9" x14ac:dyDescent="0.3">
      <c r="B153" s="4" t="s">
        <v>17</v>
      </c>
      <c r="C153" s="5">
        <v>0</v>
      </c>
      <c r="D153" s="5">
        <v>0</v>
      </c>
      <c r="E153" s="5">
        <v>7360</v>
      </c>
      <c r="F153" s="5">
        <v>1979840</v>
      </c>
      <c r="G153" s="5">
        <v>0</v>
      </c>
      <c r="H153" s="5">
        <v>0</v>
      </c>
      <c r="I153" s="5">
        <v>7000</v>
      </c>
    </row>
    <row r="154" spans="2:9" x14ac:dyDescent="0.3">
      <c r="B154" s="4" t="s">
        <v>18</v>
      </c>
      <c r="C154" s="5">
        <v>5860</v>
      </c>
      <c r="D154" s="5">
        <v>2330545</v>
      </c>
      <c r="E154" s="5">
        <v>560</v>
      </c>
      <c r="F154" s="5">
        <v>235199</v>
      </c>
      <c r="G154" s="5">
        <v>0</v>
      </c>
      <c r="H154" s="5">
        <v>5000</v>
      </c>
      <c r="I154" s="5">
        <v>0</v>
      </c>
    </row>
    <row r="155" spans="2:9" x14ac:dyDescent="0.3">
      <c r="B155" s="4" t="s">
        <v>20</v>
      </c>
      <c r="C155" s="5">
        <v>24000</v>
      </c>
      <c r="D155" s="5">
        <v>325410</v>
      </c>
      <c r="E155" s="5">
        <v>2000</v>
      </c>
      <c r="F155" s="5">
        <v>34700</v>
      </c>
      <c r="G155" s="5">
        <v>0</v>
      </c>
      <c r="H155" s="5">
        <v>0</v>
      </c>
      <c r="I155" s="5">
        <v>0</v>
      </c>
    </row>
    <row r="156" spans="2:9" x14ac:dyDescent="0.3">
      <c r="B156" s="4" t="s">
        <v>21</v>
      </c>
      <c r="C156" s="5">
        <v>52838</v>
      </c>
      <c r="D156" s="5">
        <v>19962099</v>
      </c>
      <c r="E156" s="5">
        <v>18990</v>
      </c>
      <c r="F156" s="5">
        <v>6973455</v>
      </c>
      <c r="G156" s="5">
        <v>528895</v>
      </c>
      <c r="H156" s="5">
        <v>39000</v>
      </c>
      <c r="I156" s="5">
        <v>0</v>
      </c>
    </row>
    <row r="157" spans="2:9" x14ac:dyDescent="0.3">
      <c r="B157" s="4" t="s">
        <v>22</v>
      </c>
      <c r="C157" s="5">
        <v>230</v>
      </c>
      <c r="D157" s="5">
        <v>101690</v>
      </c>
      <c r="E157" s="5">
        <v>110</v>
      </c>
      <c r="F157" s="5">
        <v>0</v>
      </c>
      <c r="G157" s="5">
        <v>50900</v>
      </c>
      <c r="H157" s="5">
        <v>1000</v>
      </c>
      <c r="I157" s="5">
        <v>0</v>
      </c>
    </row>
    <row r="158" spans="2:9" x14ac:dyDescent="0.3">
      <c r="B158" s="4" t="s">
        <v>23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3500000</v>
      </c>
      <c r="I158" s="5">
        <v>20321885</v>
      </c>
    </row>
    <row r="159" spans="2:9" x14ac:dyDescent="0.3">
      <c r="B159" s="4" t="s">
        <v>26</v>
      </c>
      <c r="C159" s="5">
        <v>1570</v>
      </c>
      <c r="D159" s="5">
        <v>133981</v>
      </c>
      <c r="E159" s="5">
        <v>3060</v>
      </c>
      <c r="F159" s="5">
        <v>247690</v>
      </c>
      <c r="G159" s="5">
        <v>48450</v>
      </c>
      <c r="H159" s="5">
        <v>0</v>
      </c>
      <c r="I159" s="5">
        <v>0</v>
      </c>
    </row>
    <row r="160" spans="2:9" x14ac:dyDescent="0.3">
      <c r="B160" s="4" t="s">
        <v>27</v>
      </c>
      <c r="C160" s="5">
        <v>5883</v>
      </c>
      <c r="D160" s="5">
        <v>435430</v>
      </c>
      <c r="E160" s="5">
        <v>7996</v>
      </c>
      <c r="F160" s="5">
        <v>635576</v>
      </c>
      <c r="G160" s="5">
        <v>39085</v>
      </c>
      <c r="H160" s="5">
        <v>0</v>
      </c>
      <c r="I160" s="5">
        <v>0</v>
      </c>
    </row>
    <row r="161" spans="2:9" x14ac:dyDescent="0.3">
      <c r="B161" s="4" t="s">
        <v>31</v>
      </c>
      <c r="C161" s="5">
        <v>11710</v>
      </c>
      <c r="D161" s="5">
        <v>4102395</v>
      </c>
      <c r="E161" s="5">
        <v>4020</v>
      </c>
      <c r="F161" s="5">
        <v>1301915</v>
      </c>
      <c r="G161" s="5">
        <v>182370</v>
      </c>
      <c r="H161" s="5">
        <v>8000</v>
      </c>
      <c r="I161" s="5">
        <v>0</v>
      </c>
    </row>
    <row r="162" spans="2:9" ht="15.6" x14ac:dyDescent="0.3">
      <c r="B162" s="18" t="s">
        <v>32</v>
      </c>
      <c r="C162" s="18"/>
      <c r="D162" s="7">
        <f>SUM(D153:D161)</f>
        <v>27391550</v>
      </c>
      <c r="E162" s="8"/>
      <c r="F162" s="7">
        <f>SUM(F153:F161)</f>
        <v>11408375</v>
      </c>
      <c r="G162" s="7">
        <f>SUM(G153:G161)</f>
        <v>849700</v>
      </c>
      <c r="H162" s="6"/>
      <c r="I162" s="6"/>
    </row>
    <row r="165" spans="2:9" ht="17.399999999999999" x14ac:dyDescent="0.3">
      <c r="B165" s="19" t="s">
        <v>137</v>
      </c>
      <c r="C165" s="19"/>
      <c r="D165" s="19"/>
      <c r="E165" s="19"/>
      <c r="F165" s="19"/>
      <c r="G165" s="19"/>
      <c r="H165" s="19"/>
      <c r="I165" s="19"/>
    </row>
    <row r="166" spans="2:9" ht="15.6" x14ac:dyDescent="0.3">
      <c r="B166" s="9" t="s">
        <v>15</v>
      </c>
      <c r="C166" s="10">
        <v>0</v>
      </c>
      <c r="D166" s="10">
        <v>0</v>
      </c>
      <c r="E166" s="10">
        <v>1000</v>
      </c>
      <c r="F166" s="10">
        <v>241690</v>
      </c>
      <c r="G166" s="10">
        <v>0</v>
      </c>
      <c r="H166" s="10">
        <v>0</v>
      </c>
      <c r="I166" s="10">
        <v>0</v>
      </c>
    </row>
    <row r="167" spans="2:9" ht="15.6" x14ac:dyDescent="0.3">
      <c r="B167" s="9" t="s">
        <v>38</v>
      </c>
      <c r="C167" s="10">
        <v>10</v>
      </c>
      <c r="D167" s="10">
        <v>1875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</row>
    <row r="168" spans="2:9" ht="15.6" x14ac:dyDescent="0.3">
      <c r="B168" s="9" t="s">
        <v>17</v>
      </c>
      <c r="C168" s="10">
        <v>8860</v>
      </c>
      <c r="D168" s="10">
        <v>2267295</v>
      </c>
      <c r="E168" s="10">
        <v>8460</v>
      </c>
      <c r="F168" s="10">
        <v>2280765</v>
      </c>
      <c r="G168" s="10">
        <v>0</v>
      </c>
      <c r="H168" s="10">
        <v>14500</v>
      </c>
      <c r="I168" s="10">
        <v>16000</v>
      </c>
    </row>
    <row r="169" spans="2:9" ht="15.6" x14ac:dyDescent="0.3">
      <c r="B169" s="9" t="s">
        <v>18</v>
      </c>
      <c r="C169" s="10">
        <v>124370</v>
      </c>
      <c r="D169" s="10">
        <v>50361320</v>
      </c>
      <c r="E169" s="10">
        <v>6580</v>
      </c>
      <c r="F169" s="10">
        <v>2706069</v>
      </c>
      <c r="G169" s="10">
        <v>0</v>
      </c>
      <c r="H169" s="10">
        <v>123000</v>
      </c>
      <c r="I169" s="10">
        <v>13000</v>
      </c>
    </row>
    <row r="170" spans="2:9" ht="15.6" x14ac:dyDescent="0.3">
      <c r="B170" s="9" t="s">
        <v>20</v>
      </c>
      <c r="C170" s="10">
        <v>58200</v>
      </c>
      <c r="D170" s="10">
        <v>826860</v>
      </c>
      <c r="E170" s="10">
        <v>16500</v>
      </c>
      <c r="F170" s="10">
        <v>276911</v>
      </c>
      <c r="G170" s="10">
        <v>0</v>
      </c>
      <c r="H170" s="10">
        <v>0</v>
      </c>
      <c r="I170" s="10">
        <v>0</v>
      </c>
    </row>
    <row r="171" spans="2:9" ht="15.6" x14ac:dyDescent="0.3">
      <c r="B171" s="9" t="s">
        <v>21</v>
      </c>
      <c r="C171" s="10">
        <v>614554</v>
      </c>
      <c r="D171" s="10">
        <v>234736347</v>
      </c>
      <c r="E171" s="10">
        <v>171894</v>
      </c>
      <c r="F171" s="10">
        <v>63034584</v>
      </c>
      <c r="G171" s="10">
        <v>4004145</v>
      </c>
      <c r="H171" s="10">
        <v>513050</v>
      </c>
      <c r="I171" s="10">
        <v>18050</v>
      </c>
    </row>
    <row r="172" spans="2:9" ht="15.6" x14ac:dyDescent="0.3">
      <c r="B172" s="9" t="s">
        <v>22</v>
      </c>
      <c r="C172" s="10">
        <v>34015</v>
      </c>
      <c r="D172" s="10">
        <v>15283690</v>
      </c>
      <c r="E172" s="10">
        <v>6660</v>
      </c>
      <c r="F172" s="10">
        <v>2310710</v>
      </c>
      <c r="G172" s="10">
        <v>735723</v>
      </c>
      <c r="H172" s="10">
        <v>28000</v>
      </c>
      <c r="I172" s="10">
        <v>3000</v>
      </c>
    </row>
    <row r="173" spans="2:9" ht="15.6" x14ac:dyDescent="0.3">
      <c r="B173" s="9" t="s">
        <v>23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61571080</v>
      </c>
      <c r="I173" s="10">
        <v>316874835</v>
      </c>
    </row>
    <row r="174" spans="2:9" ht="15.6" x14ac:dyDescent="0.3">
      <c r="B174" s="9" t="s">
        <v>36</v>
      </c>
      <c r="C174" s="10">
        <v>1220</v>
      </c>
      <c r="D174" s="10">
        <v>106780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</row>
    <row r="175" spans="2:9" ht="15.6" x14ac:dyDescent="0.3">
      <c r="B175" s="9" t="s">
        <v>24</v>
      </c>
      <c r="C175" s="10">
        <v>56000</v>
      </c>
      <c r="D175" s="10">
        <v>129920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</row>
    <row r="176" spans="2:9" ht="15.6" x14ac:dyDescent="0.3">
      <c r="B176" s="9" t="s">
        <v>26</v>
      </c>
      <c r="C176" s="10">
        <v>2500</v>
      </c>
      <c r="D176" s="10">
        <v>215708</v>
      </c>
      <c r="E176" s="10">
        <v>29550</v>
      </c>
      <c r="F176" s="10">
        <v>2661969</v>
      </c>
      <c r="G176" s="10">
        <v>103005</v>
      </c>
      <c r="H176" s="10">
        <v>0</v>
      </c>
      <c r="I176" s="10">
        <v>15000</v>
      </c>
    </row>
    <row r="177" spans="2:9" ht="15.6" x14ac:dyDescent="0.3">
      <c r="B177" s="9" t="s">
        <v>27</v>
      </c>
      <c r="C177" s="10">
        <v>16231</v>
      </c>
      <c r="D177" s="10">
        <v>1201040</v>
      </c>
      <c r="E177" s="10">
        <v>15090</v>
      </c>
      <c r="F177" s="10">
        <v>1191946</v>
      </c>
      <c r="G177" s="10">
        <v>54985</v>
      </c>
      <c r="H177" s="10">
        <v>10000</v>
      </c>
      <c r="I177" s="10">
        <v>10000</v>
      </c>
    </row>
    <row r="178" spans="2:9" ht="15.6" x14ac:dyDescent="0.3">
      <c r="B178" s="9" t="s">
        <v>34</v>
      </c>
      <c r="C178" s="10">
        <v>32740</v>
      </c>
      <c r="D178" s="10">
        <v>98220</v>
      </c>
      <c r="E178" s="10">
        <v>17220</v>
      </c>
      <c r="F178" s="10">
        <v>69740</v>
      </c>
      <c r="G178" s="10">
        <v>0</v>
      </c>
      <c r="H178" s="10">
        <v>0</v>
      </c>
      <c r="I178" s="10">
        <v>0</v>
      </c>
    </row>
    <row r="179" spans="2:9" ht="15.6" x14ac:dyDescent="0.3">
      <c r="B179" s="9" t="s">
        <v>30</v>
      </c>
      <c r="C179" s="10">
        <v>1270</v>
      </c>
      <c r="D179" s="10">
        <v>12442</v>
      </c>
      <c r="E179" s="10">
        <v>19850</v>
      </c>
      <c r="F179" s="10">
        <v>258050</v>
      </c>
      <c r="G179" s="10">
        <v>0</v>
      </c>
      <c r="H179" s="10">
        <v>0</v>
      </c>
      <c r="I179" s="10">
        <v>25000</v>
      </c>
    </row>
    <row r="180" spans="2:9" ht="15.6" x14ac:dyDescent="0.3">
      <c r="B180" s="9" t="s">
        <v>31</v>
      </c>
      <c r="C180" s="10">
        <v>64043</v>
      </c>
      <c r="D180" s="10">
        <v>22661543</v>
      </c>
      <c r="E180" s="10">
        <v>38628</v>
      </c>
      <c r="F180" s="10">
        <v>12615131</v>
      </c>
      <c r="G180" s="10">
        <v>1401462</v>
      </c>
      <c r="H180" s="10">
        <v>51500</v>
      </c>
      <c r="I180" s="10">
        <v>21500</v>
      </c>
    </row>
    <row r="181" spans="2:9" ht="15.6" x14ac:dyDescent="0.3">
      <c r="B181" s="20" t="s">
        <v>119</v>
      </c>
      <c r="C181" s="21"/>
      <c r="D181" s="11">
        <f>SUM(D166:D180)</f>
        <v>327903040</v>
      </c>
      <c r="E181" s="12"/>
      <c r="F181" s="11">
        <f>SUM(F166:F180)</f>
        <v>87647565</v>
      </c>
      <c r="G181" s="11">
        <f>SUM(G166:G180)</f>
        <v>6299320</v>
      </c>
      <c r="H181" s="12"/>
      <c r="I181" s="12"/>
    </row>
    <row r="182" spans="2:9" ht="15.6" x14ac:dyDescent="0.3">
      <c r="B182" s="9"/>
      <c r="C182" s="10"/>
      <c r="D182" s="10"/>
      <c r="E182" s="10"/>
      <c r="F182" s="10"/>
      <c r="G182" s="10"/>
      <c r="H182" s="10"/>
      <c r="I182" s="10"/>
    </row>
    <row r="183" spans="2:9" ht="15.6" x14ac:dyDescent="0.3">
      <c r="B183" s="9"/>
      <c r="C183" s="10"/>
      <c r="D183" s="10"/>
      <c r="E183" s="10"/>
      <c r="F183" s="10"/>
      <c r="G183" s="10"/>
      <c r="H183" s="10"/>
      <c r="I183" s="10"/>
    </row>
    <row r="184" spans="2:9" ht="15.6" x14ac:dyDescent="0.3">
      <c r="B184" s="9"/>
      <c r="C184" s="10"/>
      <c r="D184" s="10"/>
      <c r="E184" s="10"/>
      <c r="F184" s="10"/>
      <c r="G184" s="10"/>
      <c r="H184" s="10"/>
      <c r="I184" s="10"/>
    </row>
    <row r="185" spans="2:9" ht="15.6" x14ac:dyDescent="0.3">
      <c r="B185" s="9"/>
      <c r="C185" s="10"/>
      <c r="D185" s="10"/>
      <c r="E185" s="10"/>
      <c r="F185" s="10"/>
      <c r="G185" s="10"/>
      <c r="H185" s="10"/>
      <c r="I185" s="10"/>
    </row>
    <row r="186" spans="2:9" ht="15.6" x14ac:dyDescent="0.3">
      <c r="B186" s="9"/>
      <c r="C186" s="10"/>
      <c r="D186" s="10"/>
      <c r="E186" s="10"/>
      <c r="F186" s="10"/>
      <c r="G186" s="10"/>
      <c r="H186" s="10"/>
      <c r="I186" s="10"/>
    </row>
    <row r="187" spans="2:9" ht="15.6" x14ac:dyDescent="0.3">
      <c r="B187" s="9"/>
      <c r="C187" s="10"/>
      <c r="D187" s="10"/>
      <c r="E187" s="10"/>
      <c r="F187" s="10"/>
      <c r="G187" s="10"/>
      <c r="H187" s="10"/>
      <c r="I187" s="10"/>
    </row>
    <row r="188" spans="2:9" ht="15.6" x14ac:dyDescent="0.3">
      <c r="B188" s="9"/>
      <c r="C188" s="10"/>
      <c r="D188" s="10"/>
      <c r="E188" s="10"/>
      <c r="F188" s="10"/>
      <c r="G188" s="10"/>
      <c r="H188" s="10"/>
      <c r="I188" s="10"/>
    </row>
    <row r="189" spans="2:9" ht="15.6" x14ac:dyDescent="0.3">
      <c r="B189" s="9"/>
      <c r="C189" s="10"/>
      <c r="D189" s="10"/>
      <c r="E189" s="10"/>
      <c r="F189" s="10"/>
      <c r="G189" s="10"/>
      <c r="H189" s="10"/>
      <c r="I189" s="10"/>
    </row>
    <row r="190" spans="2:9" ht="15.6" x14ac:dyDescent="0.3">
      <c r="B190" s="9"/>
      <c r="C190" s="10"/>
      <c r="D190" s="10"/>
      <c r="E190" s="10"/>
      <c r="F190" s="10"/>
      <c r="G190" s="10"/>
      <c r="H190" s="10"/>
      <c r="I190" s="10"/>
    </row>
    <row r="191" spans="2:9" ht="15.6" x14ac:dyDescent="0.3">
      <c r="B191" s="9"/>
      <c r="C191" s="10"/>
      <c r="D191" s="10"/>
      <c r="E191" s="10"/>
      <c r="F191" s="10"/>
      <c r="G191" s="10"/>
      <c r="H191" s="10"/>
      <c r="I191" s="10"/>
    </row>
    <row r="192" spans="2:9" ht="15.6" x14ac:dyDescent="0.3">
      <c r="B192" s="9"/>
      <c r="C192" s="10"/>
      <c r="D192" s="10"/>
      <c r="E192" s="10"/>
      <c r="F192" s="10"/>
      <c r="G192" s="10"/>
      <c r="H192" s="10"/>
      <c r="I192" s="10"/>
    </row>
  </sheetData>
  <mergeCells count="37">
    <mergeCell ref="B2:I2"/>
    <mergeCell ref="B4:B5"/>
    <mergeCell ref="C4:D4"/>
    <mergeCell ref="E4:G4"/>
    <mergeCell ref="H4:H5"/>
    <mergeCell ref="I4:I5"/>
    <mergeCell ref="B54:D54"/>
    <mergeCell ref="B6:I6"/>
    <mergeCell ref="B7:D7"/>
    <mergeCell ref="B15:C15"/>
    <mergeCell ref="B17:D17"/>
    <mergeCell ref="B24:C24"/>
    <mergeCell ref="B26:D26"/>
    <mergeCell ref="B31:C31"/>
    <mergeCell ref="B33:D33"/>
    <mergeCell ref="B41:C41"/>
    <mergeCell ref="B43:D43"/>
    <mergeCell ref="B52:C52"/>
    <mergeCell ref="B127:D127"/>
    <mergeCell ref="B62:C62"/>
    <mergeCell ref="B64:D64"/>
    <mergeCell ref="B74:C74"/>
    <mergeCell ref="B76:D76"/>
    <mergeCell ref="B91:C91"/>
    <mergeCell ref="B93:D93"/>
    <mergeCell ref="B105:C105"/>
    <mergeCell ref="B107:D107"/>
    <mergeCell ref="B112:C112"/>
    <mergeCell ref="B114:D114"/>
    <mergeCell ref="B125:C125"/>
    <mergeCell ref="B181:C181"/>
    <mergeCell ref="B137:C137"/>
    <mergeCell ref="B139:D139"/>
    <mergeCell ref="B150:C150"/>
    <mergeCell ref="B152:D152"/>
    <mergeCell ref="B162:C162"/>
    <mergeCell ref="B165:I1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813B-9EB6-4E8B-8C67-2516F97452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Best Change</vt:lpstr>
      <vt:lpstr>East Change</vt:lpstr>
      <vt:lpstr>Pannon Change</vt:lpstr>
      <vt:lpstr>Expressz Zalog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2024-03-04T09:56:04Z</dcterms:created>
  <dcterms:modified xsi:type="dcterms:W3CDTF">2024-03-04T10:08:34Z</dcterms:modified>
</cp:coreProperties>
</file>